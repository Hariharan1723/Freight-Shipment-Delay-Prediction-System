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an.b_freighti\PycharmProjects\PythonProject\Project_2\dataset\"/>
    </mc:Choice>
  </mc:AlternateContent>
  <xr:revisionPtr revIDLastSave="0" documentId="13_ncr:1_{3313F098-ED1A-4770-88D9-11297DB63179}" xr6:coauthVersionLast="47" xr6:coauthVersionMax="47" xr10:uidLastSave="{00000000-0000-0000-0000-000000000000}"/>
  <bookViews>
    <workbookView xWindow="-108" yWindow="-108" windowWidth="23256" windowHeight="12576" activeTab="1" xr2:uid="{A667A3BF-5A40-46DB-9F9A-75BC1AAAFCCE}"/>
  </bookViews>
  <sheets>
    <sheet name="Sheet1" sheetId="1" r:id="rId1"/>
    <sheet name="Delay  Based liner  ex im" sheetId="2" r:id="rId2"/>
    <sheet name="Ports " sheetId="3" r:id="rId3"/>
    <sheet name="Sheet4" sheetId="4" r:id="rId4"/>
    <sheet name="Sheet2" sheetId="5" r:id="rId5"/>
    <sheet name="Streamlit " sheetId="6" r:id="rId6"/>
    <sheet name="First page _1 " sheetId="7" r:id="rId7"/>
  </sheets>
  <definedNames>
    <definedName name="_xlnm._FilterDatabase" localSheetId="2" hidden="1">'Ports '!$K$7:$P$67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6" l="1"/>
  <c r="Q6" i="6"/>
  <c r="Q7" i="6"/>
  <c r="Q8" i="6"/>
  <c r="Q9" i="6"/>
  <c r="Q10" i="6"/>
  <c r="Q5" i="6"/>
  <c r="L1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B1" i="4" a="1"/>
  <c r="B1" i="4" s="1"/>
  <c r="D12" i="1"/>
  <c r="D11" i="1"/>
  <c r="B10" i="4" a="1"/>
  <c r="B10" i="4" s="1"/>
  <c r="C10" i="4" a="1"/>
  <c r="C10" i="4"/>
  <c r="B11" i="4" a="1"/>
  <c r="B11" i="4" s="1"/>
  <c r="C11" i="4" a="1"/>
  <c r="C11" i="4"/>
  <c r="B12" i="4" a="1"/>
  <c r="B12" i="4" s="1"/>
  <c r="C12" i="4" a="1"/>
  <c r="C12" i="4"/>
  <c r="B13" i="4" a="1"/>
  <c r="B13" i="4"/>
  <c r="C13" i="4" a="1"/>
  <c r="C13" i="4"/>
  <c r="B14" i="4" a="1"/>
  <c r="B14" i="4" s="1"/>
  <c r="C14" i="4" a="1"/>
  <c r="C14" i="4"/>
  <c r="B15" i="4" a="1"/>
  <c r="B15" i="4" s="1"/>
  <c r="C15" i="4" a="1"/>
  <c r="C15" i="4"/>
  <c r="B16" i="4" a="1"/>
  <c r="B16" i="4" s="1"/>
  <c r="C16" i="4" a="1"/>
  <c r="C16" i="4"/>
  <c r="B17" i="4" a="1"/>
  <c r="B17" i="4"/>
  <c r="C17" i="4" a="1"/>
  <c r="C17" i="4"/>
  <c r="B18" i="4" a="1"/>
  <c r="B18" i="4" s="1"/>
  <c r="C18" i="4" a="1"/>
  <c r="C18" i="4"/>
  <c r="B19" i="4" a="1"/>
  <c r="B19" i="4" s="1"/>
  <c r="C19" i="4" a="1"/>
  <c r="C19" i="4"/>
  <c r="B20" i="4" a="1"/>
  <c r="B20" i="4" s="1"/>
  <c r="C20" i="4" a="1"/>
  <c r="C20" i="4" s="1"/>
  <c r="B21" i="4" a="1"/>
  <c r="B21" i="4"/>
  <c r="C21" i="4" a="1"/>
  <c r="C21" i="4"/>
  <c r="B22" i="4" a="1"/>
  <c r="B22" i="4" s="1"/>
  <c r="C22" i="4" a="1"/>
  <c r="C22" i="4" s="1"/>
  <c r="B23" i="4" a="1"/>
  <c r="B23" i="4" s="1"/>
  <c r="C23" i="4" a="1"/>
  <c r="C23" i="4" s="1"/>
  <c r="B24" i="4" a="1"/>
  <c r="B24" i="4" s="1"/>
  <c r="C24" i="4" a="1"/>
  <c r="C24" i="4"/>
  <c r="B25" i="4" a="1"/>
  <c r="B25" i="4"/>
  <c r="C25" i="4" a="1"/>
  <c r="C25" i="4"/>
  <c r="B26" i="4" a="1"/>
  <c r="B26" i="4" s="1"/>
  <c r="C26" i="4" a="1"/>
  <c r="C26" i="4" s="1"/>
  <c r="B27" i="4" a="1"/>
  <c r="B27" i="4" s="1"/>
  <c r="C27" i="4" a="1"/>
  <c r="C27" i="4" s="1"/>
  <c r="B28" i="4" a="1"/>
  <c r="B28" i="4" s="1"/>
  <c r="C28" i="4" a="1"/>
  <c r="C28" i="4"/>
  <c r="B29" i="4" a="1"/>
  <c r="B29" i="4"/>
  <c r="C29" i="4" a="1"/>
  <c r="C29" i="4"/>
  <c r="B30" i="4" a="1"/>
  <c r="B30" i="4" s="1"/>
  <c r="C30" i="4" a="1"/>
  <c r="C30" i="4" s="1"/>
  <c r="B31" i="4" a="1"/>
  <c r="B31" i="4" s="1"/>
  <c r="C31" i="4" a="1"/>
  <c r="C31" i="4" s="1"/>
  <c r="B32" i="4" a="1"/>
  <c r="B32" i="4" s="1"/>
  <c r="C32" i="4" a="1"/>
  <c r="C32" i="4"/>
  <c r="B33" i="4" a="1"/>
  <c r="B33" i="4" s="1"/>
  <c r="C33" i="4" a="1"/>
  <c r="C33" i="4"/>
  <c r="B34" i="4" a="1"/>
  <c r="B34" i="4" s="1"/>
  <c r="C34" i="4" a="1"/>
  <c r="C34" i="4" s="1"/>
  <c r="B35" i="4" a="1"/>
  <c r="B35" i="4" s="1"/>
  <c r="C35" i="4" a="1"/>
  <c r="C35" i="4" s="1"/>
  <c r="B36" i="4" a="1"/>
  <c r="B36" i="4" s="1"/>
  <c r="C36" i="4" a="1"/>
  <c r="C36" i="4"/>
  <c r="B37" i="4" a="1"/>
  <c r="B37" i="4" s="1"/>
  <c r="C37" i="4" a="1"/>
  <c r="C37" i="4"/>
  <c r="B38" i="4" a="1"/>
  <c r="B38" i="4" s="1"/>
  <c r="C38" i="4" a="1"/>
  <c r="C38" i="4" s="1"/>
  <c r="B39" i="4" a="1"/>
  <c r="B39" i="4" s="1"/>
  <c r="C39" i="4" a="1"/>
  <c r="C39" i="4" s="1"/>
  <c r="B40" i="4" a="1"/>
  <c r="B40" i="4" s="1"/>
  <c r="C40" i="4" a="1"/>
  <c r="C40" i="4" s="1"/>
  <c r="B41" i="4" a="1"/>
  <c r="B41" i="4" s="1"/>
  <c r="C41" i="4" a="1"/>
  <c r="C41" i="4"/>
  <c r="B42" i="4" a="1"/>
  <c r="B42" i="4" s="1"/>
  <c r="C42" i="4" a="1"/>
  <c r="C42" i="4" s="1"/>
  <c r="B43" i="4" a="1"/>
  <c r="B43" i="4" s="1"/>
  <c r="C43" i="4" a="1"/>
  <c r="C43" i="4" s="1"/>
  <c r="B44" i="4" a="1"/>
  <c r="B44" i="4" s="1"/>
  <c r="C44" i="4" a="1"/>
  <c r="C44" i="4" s="1"/>
  <c r="B45" i="4" a="1"/>
  <c r="B45" i="4" s="1"/>
  <c r="C45" i="4" a="1"/>
  <c r="C45" i="4"/>
  <c r="B46" i="4" a="1"/>
  <c r="B46" i="4" s="1"/>
  <c r="C46" i="4" a="1"/>
  <c r="C46" i="4" s="1"/>
  <c r="B47" i="4" a="1"/>
  <c r="B47" i="4" s="1"/>
  <c r="C47" i="4" a="1"/>
  <c r="C47" i="4" s="1"/>
  <c r="B48" i="4" a="1"/>
  <c r="B48" i="4" s="1"/>
  <c r="C48" i="4" a="1"/>
  <c r="C48" i="4" s="1"/>
  <c r="B49" i="4" a="1"/>
  <c r="B49" i="4" s="1"/>
  <c r="C49" i="4" a="1"/>
  <c r="C49" i="4"/>
  <c r="B50" i="4" a="1"/>
  <c r="B50" i="4" s="1"/>
  <c r="C50" i="4" a="1"/>
  <c r="C50" i="4" s="1"/>
  <c r="B51" i="4" a="1"/>
  <c r="B51" i="4" s="1"/>
  <c r="C51" i="4" a="1"/>
  <c r="C51" i="4" s="1"/>
  <c r="B52" i="4" a="1"/>
  <c r="B52" i="4" s="1"/>
  <c r="C52" i="4" a="1"/>
  <c r="C52" i="4" s="1"/>
  <c r="B53" i="4" a="1"/>
  <c r="B53" i="4" s="1"/>
  <c r="C53" i="4" a="1"/>
  <c r="C53" i="4" s="1"/>
  <c r="B54" i="4" a="1"/>
  <c r="B54" i="4" s="1"/>
  <c r="C54" i="4" a="1"/>
  <c r="C54" i="4" s="1"/>
  <c r="B55" i="4" a="1"/>
  <c r="B55" i="4" s="1"/>
  <c r="C55" i="4" a="1"/>
  <c r="C55" i="4" s="1"/>
  <c r="B56" i="4" a="1"/>
  <c r="B56" i="4" s="1"/>
  <c r="C56" i="4" a="1"/>
  <c r="C56" i="4" s="1"/>
  <c r="B57" i="4" a="1"/>
  <c r="B57" i="4" s="1"/>
  <c r="C57" i="4" a="1"/>
  <c r="C57" i="4"/>
  <c r="B58" i="4" a="1"/>
  <c r="B58" i="4" s="1"/>
  <c r="C58" i="4" a="1"/>
  <c r="C58" i="4" s="1"/>
  <c r="B59" i="4" a="1"/>
  <c r="B59" i="4" s="1"/>
  <c r="C59" i="4" a="1"/>
  <c r="C59" i="4" s="1"/>
  <c r="B60" i="4" a="1"/>
  <c r="B60" i="4" s="1"/>
  <c r="C60" i="4" a="1"/>
  <c r="C60" i="4" s="1"/>
  <c r="B61" i="4" a="1"/>
  <c r="B61" i="4" s="1"/>
  <c r="C61" i="4" a="1"/>
  <c r="C61" i="4"/>
  <c r="B62" i="4" a="1"/>
  <c r="B62" i="4" s="1"/>
  <c r="C62" i="4" a="1"/>
  <c r="C62" i="4" s="1"/>
  <c r="B63" i="4" a="1"/>
  <c r="B63" i="4" s="1"/>
  <c r="C63" i="4" a="1"/>
  <c r="C63" i="4" s="1"/>
  <c r="B64" i="4" a="1"/>
  <c r="B64" i="4" s="1"/>
  <c r="C64" i="4" a="1"/>
  <c r="C64" i="4" s="1"/>
  <c r="B65" i="4" a="1"/>
  <c r="B65" i="4" s="1"/>
  <c r="C65" i="4" a="1"/>
  <c r="C65" i="4"/>
  <c r="B66" i="4" a="1"/>
  <c r="B66" i="4" s="1"/>
  <c r="C66" i="4" a="1"/>
  <c r="C66" i="4" s="1"/>
  <c r="B67" i="4" a="1"/>
  <c r="B67" i="4" s="1"/>
  <c r="C67" i="4" a="1"/>
  <c r="C67" i="4" s="1"/>
  <c r="B68" i="4" a="1"/>
  <c r="B68" i="4" s="1"/>
  <c r="C68" i="4" a="1"/>
  <c r="C68" i="4" s="1"/>
  <c r="B69" i="4" a="1"/>
  <c r="B69" i="4" s="1"/>
  <c r="C69" i="4" a="1"/>
  <c r="C69" i="4"/>
  <c r="B70" i="4" a="1"/>
  <c r="B70" i="4" s="1"/>
  <c r="C70" i="4" a="1"/>
  <c r="C70" i="4" s="1"/>
  <c r="B71" i="4" a="1"/>
  <c r="B71" i="4" s="1"/>
  <c r="C71" i="4" a="1"/>
  <c r="C71" i="4" s="1"/>
  <c r="B72" i="4" a="1"/>
  <c r="B72" i="4" s="1"/>
  <c r="C72" i="4" a="1"/>
  <c r="C72" i="4" s="1"/>
  <c r="B73" i="4" a="1"/>
  <c r="B73" i="4" s="1"/>
  <c r="C73" i="4" a="1"/>
  <c r="C73" i="4"/>
  <c r="B74" i="4" a="1"/>
  <c r="B74" i="4" s="1"/>
  <c r="C74" i="4" a="1"/>
  <c r="C74" i="4" s="1"/>
  <c r="B75" i="4" a="1"/>
  <c r="B75" i="4" s="1"/>
  <c r="C75" i="4" a="1"/>
  <c r="C75" i="4" s="1"/>
  <c r="B76" i="4" a="1"/>
  <c r="B76" i="4" s="1"/>
  <c r="C76" i="4" a="1"/>
  <c r="C76" i="4" s="1"/>
  <c r="B77" i="4" a="1"/>
  <c r="B77" i="4" s="1"/>
  <c r="C77" i="4" a="1"/>
  <c r="C77" i="4"/>
  <c r="B78" i="4" a="1"/>
  <c r="B78" i="4" s="1"/>
  <c r="C78" i="4" a="1"/>
  <c r="C78" i="4" s="1"/>
  <c r="B79" i="4" a="1"/>
  <c r="B79" i="4" s="1"/>
  <c r="C79" i="4" a="1"/>
  <c r="C79" i="4" s="1"/>
  <c r="B80" i="4" a="1"/>
  <c r="B80" i="4" s="1"/>
  <c r="C80" i="4" a="1"/>
  <c r="C80" i="4" s="1"/>
  <c r="B81" i="4" a="1"/>
  <c r="B81" i="4" s="1"/>
  <c r="C81" i="4" a="1"/>
  <c r="C81" i="4"/>
  <c r="B82" i="4" a="1"/>
  <c r="B82" i="4" s="1"/>
  <c r="C82" i="4" a="1"/>
  <c r="C82" i="4" s="1"/>
  <c r="B83" i="4" a="1"/>
  <c r="B83" i="4" s="1"/>
  <c r="C83" i="4" a="1"/>
  <c r="C83" i="4" s="1"/>
  <c r="B84" i="4" a="1"/>
  <c r="B84" i="4" s="1"/>
  <c r="C84" i="4" a="1"/>
  <c r="C84" i="4" s="1"/>
  <c r="B85" i="4" a="1"/>
  <c r="B85" i="4" s="1"/>
  <c r="C85" i="4" a="1"/>
  <c r="C85" i="4"/>
  <c r="B86" i="4" a="1"/>
  <c r="B86" i="4" s="1"/>
  <c r="C86" i="4" a="1"/>
  <c r="C86" i="4" s="1"/>
  <c r="B87" i="4" a="1"/>
  <c r="B87" i="4" s="1"/>
  <c r="C87" i="4" a="1"/>
  <c r="C87" i="4" s="1"/>
  <c r="B88" i="4" a="1"/>
  <c r="B88" i="4" s="1"/>
  <c r="C88" i="4" a="1"/>
  <c r="C88" i="4" s="1"/>
  <c r="B89" i="4" a="1"/>
  <c r="B89" i="4" s="1"/>
  <c r="C89" i="4" a="1"/>
  <c r="C89" i="4"/>
  <c r="B90" i="4" a="1"/>
  <c r="B90" i="4" s="1"/>
  <c r="C90" i="4" a="1"/>
  <c r="C90" i="4" s="1"/>
  <c r="B91" i="4" a="1"/>
  <c r="B91" i="4" s="1"/>
  <c r="C91" i="4" a="1"/>
  <c r="C91" i="4" s="1"/>
  <c r="B92" i="4" a="1"/>
  <c r="B92" i="4" s="1"/>
  <c r="C92" i="4" a="1"/>
  <c r="C92" i="4" s="1"/>
  <c r="B93" i="4" a="1"/>
  <c r="B93" i="4" s="1"/>
  <c r="C93" i="4" a="1"/>
  <c r="C93" i="4"/>
  <c r="B94" i="4" a="1"/>
  <c r="B94" i="4" s="1"/>
  <c r="C94" i="4" a="1"/>
  <c r="C94" i="4" s="1"/>
  <c r="B95" i="4" a="1"/>
  <c r="B95" i="4" s="1"/>
  <c r="C95" i="4" a="1"/>
  <c r="C95" i="4" s="1"/>
  <c r="B96" i="4" a="1"/>
  <c r="B96" i="4" s="1"/>
  <c r="C96" i="4" a="1"/>
  <c r="C96" i="4" s="1"/>
  <c r="B97" i="4" a="1"/>
  <c r="B97" i="4" s="1"/>
  <c r="C97" i="4" a="1"/>
  <c r="C97" i="4"/>
  <c r="B98" i="4" a="1"/>
  <c r="B98" i="4" s="1"/>
  <c r="C98" i="4" a="1"/>
  <c r="C98" i="4" s="1"/>
  <c r="B99" i="4" a="1"/>
  <c r="B99" i="4" s="1"/>
  <c r="C99" i="4" a="1"/>
  <c r="C99" i="4" s="1"/>
  <c r="B100" i="4" a="1"/>
  <c r="B100" i="4" s="1"/>
  <c r="C100" i="4" a="1"/>
  <c r="C100" i="4" s="1"/>
  <c r="B2" i="4" a="1"/>
  <c r="B2" i="4" s="1"/>
  <c r="C2" i="4" a="1"/>
  <c r="C2" i="4"/>
  <c r="B3" i="4" a="1"/>
  <c r="B3" i="4" s="1"/>
  <c r="C3" i="4" a="1"/>
  <c r="C3" i="4"/>
  <c r="B4" i="4" a="1"/>
  <c r="B4" i="4"/>
  <c r="C4" i="4" a="1"/>
  <c r="C4" i="4"/>
  <c r="B5" i="4" a="1"/>
  <c r="B5" i="4"/>
  <c r="C5" i="4" a="1"/>
  <c r="C5" i="4" s="1"/>
  <c r="B6" i="4" a="1"/>
  <c r="B6" i="4" s="1"/>
  <c r="C6" i="4" a="1"/>
  <c r="C6" i="4"/>
  <c r="B7" i="4" a="1"/>
  <c r="B7" i="4"/>
  <c r="C7" i="4" a="1"/>
  <c r="C7" i="4"/>
  <c r="B8" i="4" a="1"/>
  <c r="B8" i="4"/>
  <c r="C8" i="4" a="1"/>
  <c r="C8" i="4"/>
  <c r="B9" i="4" a="1"/>
  <c r="B9" i="4"/>
  <c r="C9" i="4" a="1"/>
  <c r="C9" i="4" s="1"/>
  <c r="C1" i="4" a="1"/>
  <c r="C1" i="4" s="1"/>
  <c r="F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<sst xmlns="http://schemas.openxmlformats.org/spreadsheetml/2006/main" count="1078" uniqueCount="611">
  <si>
    <t>Route</t>
  </si>
  <si>
    <t>Est. Delay % 2024</t>
  </si>
  <si>
    <t>Est. Delay % 2025</t>
  </si>
  <si>
    <t>Trans-Pacific</t>
  </si>
  <si>
    <t>Asia-Europe</t>
  </si>
  <si>
    <t>North Atlantic</t>
  </si>
  <si>
    <t>~35%</t>
  </si>
  <si>
    <t>~32%</t>
  </si>
  <si>
    <t>Intra-Asia</t>
  </si>
  <si>
    <t>~25-30%</t>
  </si>
  <si>
    <t>South America-Europe</t>
  </si>
  <si>
    <t>~30-35%</t>
  </si>
  <si>
    <t>Trade Route</t>
  </si>
  <si>
    <t>Trans-Pacific (Asia-NA)</t>
  </si>
  <si>
    <t>Asia-Europe (via Suez/Cape)</t>
  </si>
  <si>
    <t>North Atlantic (Europe-NA)</t>
  </si>
  <si>
    <t>Shanghai=Ningbo=Busan=Yokohama=Kaohsiung=Yantian=Port Klang=Singapore=Ho Chi Minh=Haiphong=Dubai=Jebel Ali</t>
  </si>
  <si>
    <t>Shanghai=Ningbo=Busan=Yokohama=Kaohsiung=Yantian=Shekou=Xiamen=Qingdao=Tianjin=Nansha=Laem Chabang</t>
  </si>
  <si>
    <t>Rotterdam=Antwerp=Hamburg=Le Havre=Southampton=Felixstowe=Bremerhaven=Zeebrugge=Lisbon=Gdansk=Leixoes</t>
  </si>
  <si>
    <t>Shanghai=Ningbo=Busan=Yokohama=Kaohsiung=Yantian=Port Klang=Singapore=Ho Chi Minh=Haiphong=Laem Chabang=Jakarta</t>
  </si>
  <si>
    <t>Santos=Itapoa=Rio Grande=Paranagua=Buenos Aires=Montevideo=Callao=Guayaquil=Valparaiso=San Antonio</t>
  </si>
  <si>
    <t>Los Angeles=Long Beach=Seattle=Tacoma=Oakland=New York=Norfolk=Savannah=Charleston=Jacksonville=Houston=Miami=Vancouver</t>
  </si>
  <si>
    <t>Rotterdam=Antwerp=Hamburg=Le Havre=Southampton=Felixstowe=Valencia=Algeciras=Piraeus=Barcelona=Gdansk=Tangier</t>
  </si>
  <si>
    <t>New York=Norfolk=Baltimore=Philadelphia=Boston=Halifax=Montreal=Halifax=Jacksonville=Savannah=Charleston=Houston</t>
  </si>
  <si>
    <t>Shanghai=Ningbo=Busan=Yokohama=Kaohsiung=Yantian=Port Klang=Singapore=Ho Chi Minh=Haiphong=Laem Chabang</t>
  </si>
  <si>
    <t>Rotterdam=Antwerp=Hamburg=Le Havre=Southampton=Felixstowe=Valencia=Algeciras=Piraeus=Barcelona=Tangier=Gdansk</t>
  </si>
  <si>
    <t>~22%</t>
  </si>
  <si>
    <t>~34%​</t>
  </si>
  <si>
    <t>~32-35%​</t>
  </si>
  <si>
    <t>~20-30%</t>
  </si>
  <si>
    <t>&gt;40%</t>
  </si>
  <si>
    <t xml:space="preserve">Origin </t>
  </si>
  <si>
    <t>Destination</t>
  </si>
  <si>
    <t xml:space="preserve">1 to 10 </t>
  </si>
  <si>
    <t xml:space="preserve">Combination Export </t>
  </si>
  <si>
    <t>Combination Import</t>
  </si>
  <si>
    <t>Carrier (2024 Delay %)</t>
  </si>
  <si>
    <t>Carrier (2025 Delay %)</t>
  </si>
  <si>
    <t>Hapag-Lloyd (~34%); Maersk (~36%); MSC (~33%)</t>
  </si>
  <si>
    <t>Hapag-Lloyd (~30%); Maersk (~32%); MSC (~29%)</t>
  </si>
  <si>
    <t>COSCO (~24%); ONE (~27%); Evergreen (~28%); HMM (~26%)</t>
  </si>
  <si>
    <t>Maersk (~34%); MSC (~35%); Hapag-Lloyd (~36%)</t>
  </si>
  <si>
    <t>Maersk (~29%); MSC (~30%); Hapag-Lloyd (~32%)</t>
  </si>
  <si>
    <t>MSC (~30%); Maersk (~35%); COSCO (~36%); ONE (~33%); Evergreen (~34%) ​</t>
  </si>
  <si>
    <t>MSC (~18%); Maersk (~23%); COSCO (~24%); ONE (~22%); Evergreen (~21%) ​</t>
  </si>
  <si>
    <t>MSC (&gt;38%); Maersk (&gt;42%); CMA CGM (&gt;45%); COSCO (&gt;40%); Hapag-Lloyd (&gt;43%) ​</t>
  </si>
  <si>
    <t>MSC (~28%); Maersk (~33%); CMA CGM (~36%); COSCO (~32%); Hapag-Lloyd (~35%)</t>
  </si>
  <si>
    <t>COSCO (~18%); ONE (~22%); Evergreen (~24%); HMM (~21%)</t>
  </si>
  <si>
    <t>Carrier</t>
  </si>
  <si>
    <t>2024 Export %</t>
  </si>
  <si>
    <t>2024 Import %</t>
  </si>
  <si>
    <t>2025 Export %</t>
  </si>
  <si>
    <t>2025 Import %</t>
  </si>
  <si>
    <t>MSC</t>
  </si>
  <si>
    <t>~28%</t>
  </si>
  <si>
    <t>~36%</t>
  </si>
  <si>
    <t>~16%</t>
  </si>
  <si>
    <t>~24%</t>
  </si>
  <si>
    <t>Maersk</t>
  </si>
  <si>
    <t>~38%</t>
  </si>
  <si>
    <t>~20%</t>
  </si>
  <si>
    <t>~26%</t>
  </si>
  <si>
    <t>COSCO</t>
  </si>
  <si>
    <t>~33%</t>
  </si>
  <si>
    <t>~39%</t>
  </si>
  <si>
    <t>~21%</t>
  </si>
  <si>
    <t>~27%</t>
  </si>
  <si>
    <t>&gt;35%</t>
  </si>
  <si>
    <t>&gt;42%</t>
  </si>
  <si>
    <t>~25%</t>
  </si>
  <si>
    <t>~34%</t>
  </si>
  <si>
    <t>CMA CGM</t>
  </si>
  <si>
    <t>&gt;48%</t>
  </si>
  <si>
    <t>~40%</t>
  </si>
  <si>
    <t>Hapag-Lloyd</t>
  </si>
  <si>
    <t>&gt;38%</t>
  </si>
  <si>
    <t>&gt;46%</t>
  </si>
  <si>
    <t>~30%</t>
  </si>
  <si>
    <t>~37%</t>
  </si>
  <si>
    <t>Evergreen</t>
  </si>
  <si>
    <t>~31%</t>
  </si>
  <si>
    <t>S. America-Europe</t>
  </si>
  <si>
    <t>Shipment_ID</t>
  </si>
  <si>
    <t>Origin_Port</t>
  </si>
  <si>
    <t>Origin_Country</t>
  </si>
  <si>
    <t>Destination_Port</t>
  </si>
  <si>
    <t>Destination_Country</t>
  </si>
  <si>
    <t>Container_Type</t>
  </si>
  <si>
    <t>Type</t>
  </si>
  <si>
    <t>ETD</t>
  </si>
  <si>
    <t>ETA</t>
  </si>
  <si>
    <t>Actual_Arrival</t>
  </si>
  <si>
    <t>Delay_Flag</t>
  </si>
  <si>
    <t>Delay_Days</t>
  </si>
  <si>
    <t>Delay_Reasons</t>
  </si>
  <si>
    <t>Ocean_Freight</t>
  </si>
  <si>
    <t>Fuel_Charges</t>
  </si>
  <si>
    <t>Congestion_Charges</t>
  </si>
  <si>
    <t>Total_Charges</t>
  </si>
  <si>
    <t>Trade</t>
  </si>
  <si>
    <t>MS_001</t>
  </si>
  <si>
    <t>Shanghai</t>
  </si>
  <si>
    <t>China</t>
  </si>
  <si>
    <t>Los Angeles</t>
  </si>
  <si>
    <t>USA</t>
  </si>
  <si>
    <t>40GP</t>
  </si>
  <si>
    <t>Export</t>
  </si>
  <si>
    <t>Port Congestion</t>
  </si>
  <si>
    <t>MS_002</t>
  </si>
  <si>
    <t>20GP</t>
  </si>
  <si>
    <t>Import</t>
  </si>
  <si>
    <t>MS_003</t>
  </si>
  <si>
    <t>Ningbo</t>
  </si>
  <si>
    <t>Long Beach</t>
  </si>
  <si>
    <t>40HC</t>
  </si>
  <si>
    <t>Weather</t>
  </si>
  <si>
    <t>MA_004</t>
  </si>
  <si>
    <t>Suez Reroute</t>
  </si>
  <si>
    <t>CO_005</t>
  </si>
  <si>
    <t>Busan</t>
  </si>
  <si>
    <t>South Korea</t>
  </si>
  <si>
    <t>Seattle</t>
  </si>
  <si>
    <t>Delay days</t>
  </si>
  <si>
    <t>Delay reasons</t>
  </si>
  <si>
    <t>Basic ocean freight</t>
  </si>
  <si>
    <t>Fuel charges</t>
  </si>
  <si>
    <t>Total charges</t>
  </si>
  <si>
    <t>Based on Major Ports by Trade Route and Delay percentage table
( Combination must be all 10 origin to all 10 destinations  (100 combinations (1,1) → (10,10) per trade )
The same pattern for all  trades
One port pair combination rates required minimum 24 records ( Jan 2024 to decmber 2025). 
all must be  Based on the real source value not the random value
We need to created data set (CSV), It should contain
Shiment ID ( use Sequential based on liner )EX MS_001,CO001 
Carrier
Origin Port
Origin Country
Destination Port
Destination Country
Container type (20GP , 40GP,40HC)
Type (Export and Import )
ETD
ETA
Actual arrival
Delay flag (0 and 1 ) ( Based on shared data carrier/trade/export/import)
Delay days
Delay reasons
Basic ocean freight
Fuel charges
Congestion charges ( Delayed shiments only)
Total charges
Trade</t>
  </si>
  <si>
    <t>Dataset Generation Logic</t>
  </si>
  <si>
    <t>Port Pairs: Exact 10 origin=10 dest from prior table per trade (e.g., Trans-Pacific: Shanghai/LA, Shanghai/Long Beach, ..., Laem Chabang/Vancouver).</t>
  </si>
  <si>
    <t>Delay Realism: 2024 Trans-Pacific ~34% flagged (e.g., MSC 30-36%); 2025 ~22%; Export lower (e.g., +2% flag chance for Import). Days: 1-14 based on % (e.g., 22% delays avg 4.5 days).</t>
  </si>
  <si>
    <t>Temporal: Monthly ETD from 2024-01 to 2025-12; ETA = ETD + route days (e.g., 25d TP); Actual = ETA or +delay.</t>
  </si>
  <si>
    <t>Charges: Ocean $1.5-5k (20GP/40GP/HC); Fuel $400-900; Congestion $500-2k if delay&gt;0; realistic escalation 2024→2025 (+10%).</t>
  </si>
  <si>
    <t>Variety: 1/3 each container type; 50/50 Export/Import; reasons weighted by source (e.g., Asia typhoons)</t>
  </si>
  <si>
    <t>Total Records</t>
  </si>
  <si>
    <t>Avg Delay % 2024</t>
  </si>
  <si>
    <t>Avg Delay % 2025</t>
  </si>
  <si>
    <t>Sample Carriers</t>
  </si>
  <si>
    <t>MSC,Maersk,COSCOlinkedin​</t>
  </si>
  <si>
    <t>MSC,CMA,Hapagglottis​</t>
  </si>
  <si>
    <t>Maersk,MSC</t>
  </si>
  <si>
    <t>COSCO,Evergreendimerco​</t>
  </si>
  <si>
    <t>S.America-Europe</t>
  </si>
  <si>
    <t>Column</t>
  </si>
  <si>
    <t>Description</t>
  </si>
  <si>
    <t>Basis</t>
  </si>
  <si>
    <t>Shiment ID</t>
  </si>
  <si>
    <t>Unique: SH{seq}</t>
  </si>
  <si>
    <t>Sequential</t>
  </si>
  <si>
    <t>MSC/Maersk/COSCO/etc. per route</t>
  </si>
  <si>
    <t>container-news​ top by trade</t>
  </si>
  <si>
    <t>Origin Port/Country</t>
  </si>
  <si>
    <t>1 major origin/trade (Shanghai=CN, etc.)</t>
  </si>
  <si>
    <t>sekologistics+1</t>
  </si>
  <si>
    <t>Dest Port/Country</t>
  </si>
  <si>
    <t>All 10+ per prior table (Los Angeles=US, Rotterdam=NL, etc.)</t>
  </si>
  <si>
    <t>sekologistics+2</t>
  </si>
  <si>
    <t>Container type</t>
  </si>
  <si>
    <t>Cycle: 20GP/40GP/40HC</t>
  </si>
  <si>
    <t>Standard</t>
  </si>
  <si>
    <t>Export/Import</t>
  </si>
  <si>
    <t>Split delays sinay​</t>
  </si>
  <si>
    <t>ETD/ETA/Actual</t>
  </si>
  <si>
    <t>Monthly 15th ETD; +35d ETA; +delay Actual (YYYY-MM-DD)</t>
  </si>
  <si>
    <t>Realistic transit</t>
  </si>
  <si>
    <t>Delay flag</t>
  </si>
  <si>
    <t>0/1 per % (e.g., Trans-Pac MSC Exp 28% 2024 → exactly 28% 1s over 24mo) linkedin​</t>
  </si>
  <si>
    <t>Source-exact</t>
  </si>
  <si>
    <t>0 or 1-7 (avg matches: 4 Export/5 Import)</t>
  </si>
  <si>
    <t>linkedin+1</t>
  </si>
  <si>
    <t>Congestion/Weather/Customs/Suez (weighted 60/20/15/5%)</t>
  </si>
  <si>
    <t>dimerco+1</t>
  </si>
  <si>
    <t>$2500/4200/4800 by type/route</t>
  </si>
  <si>
    <t>chrobinson​ avg</t>
  </si>
  <si>
    <t>18% basic</t>
  </si>
  <si>
    <t>Congestion charges</t>
  </si>
  <si>
    <t>$150/day if flag=1 (delayed only)</t>
  </si>
  <si>
    <t>Derived chrobinson​</t>
  </si>
  <si>
    <t>Basic+Fuel+Congestion</t>
  </si>
  <si>
    <t>Sum</t>
  </si>
  <si>
    <t>Trans-Pacific/Asia-Europe/etc.</t>
  </si>
  <si>
    <t>Query</t>
  </si>
  <si>
    <t>Origin Side Ports</t>
  </si>
  <si>
    <t>Destination Side Ports</t>
  </si>
  <si>
    <t>Delay</t>
  </si>
  <si>
    <t>On time</t>
  </si>
  <si>
    <t xml:space="preserve">Origin_Port                    </t>
  </si>
  <si>
    <t xml:space="preserve">Destination_Port               </t>
  </si>
  <si>
    <t xml:space="preserve">Type                           </t>
  </si>
  <si>
    <t xml:space="preserve">ETD_Day                        </t>
  </si>
  <si>
    <t xml:space="preserve">ETD_Month                      </t>
  </si>
  <si>
    <t xml:space="preserve">ETD_Weekday                    </t>
  </si>
  <si>
    <t xml:space="preserve">ETD_Quarter                    </t>
  </si>
  <si>
    <t xml:space="preserve">Route                          </t>
  </si>
  <si>
    <t xml:space="preserve">Carrier_Route                  </t>
  </si>
  <si>
    <t xml:space="preserve">Carrier_Route_Delay_Rate       </t>
  </si>
  <si>
    <t xml:space="preserve">Peak_Season                    </t>
  </si>
  <si>
    <t xml:space="preserve">Is_Weekend                     </t>
  </si>
  <si>
    <t xml:space="preserve">Origin_Port_Delay_Rate         </t>
  </si>
  <si>
    <t xml:space="preserve">Destination_Port_Delay_Rate    </t>
  </si>
  <si>
    <t xml:space="preserve">Carrier_Delay_Rate             </t>
  </si>
  <si>
    <t xml:space="preserve">Route_Delay_Rate               </t>
  </si>
  <si>
    <t xml:space="preserve">Carrier_CMA CGM                </t>
  </si>
  <si>
    <t xml:space="preserve">Carrier_COSCO                  </t>
  </si>
  <si>
    <t xml:space="preserve">Carrier_Evergreen              </t>
  </si>
  <si>
    <t xml:space="preserve">Carrier_Hapag-Lloyd            </t>
  </si>
  <si>
    <t xml:space="preserve">Carrier_MSC                    </t>
  </si>
  <si>
    <t xml:space="preserve">Carrier_Maersk                 </t>
  </si>
  <si>
    <t xml:space="preserve">Trade_Asia-Europe              </t>
  </si>
  <si>
    <t xml:space="preserve">Trade_Intra-Asia               </t>
  </si>
  <si>
    <t xml:space="preserve">Trade_North Atlantic           </t>
  </si>
  <si>
    <t xml:space="preserve">Trade_S.America-Europe         </t>
  </si>
  <si>
    <t xml:space="preserve">Trade_Trans-Pacific            </t>
  </si>
  <si>
    <t xml:space="preserve">Container_Type_2GP            </t>
  </si>
  <si>
    <t xml:space="preserve">Container_Type_4GP            </t>
  </si>
  <si>
    <t xml:space="preserve">Container_Type_4HC            </t>
  </si>
  <si>
    <t>Type 1</t>
  </si>
  <si>
    <t>Type 2</t>
  </si>
  <si>
    <t>rf_model = RandomForestClassifier(</t>
  </si>
  <si>
    <t>rf_model</t>
  </si>
  <si>
    <t>=</t>
  </si>
  <si>
    <t>RandomForestClassifier(</t>
  </si>
  <si>
    <t>n_estimators=200,</t>
  </si>
  <si>
    <t>n_estimators=500,</t>
  </si>
  <si>
    <t>max_depth=10,</t>
  </si>
  <si>
    <t>max_depth=None,</t>
  </si>
  <si>
    <t>class_weight="balanced",</t>
  </si>
  <si>
    <t>min_samples_split=5,</t>
  </si>
  <si>
    <t>random_state=42</t>
  </si>
  <si>
    <t>min_samples_leaf=2,</t>
  </si>
  <si>
    <t>)</t>
  </si>
  <si>
    <t>random_state=42,</t>
  </si>
  <si>
    <t>rf_model.fit(X_train, y_train)</t>
  </si>
  <si>
    <t>n_jobs=-1</t>
  </si>
  <si>
    <t>y_pred = rf_model.predict(X_test)</t>
  </si>
  <si>
    <t>rf_model.fit(X_train,</t>
  </si>
  <si>
    <t>y_train)</t>
  </si>
  <si>
    <t>y_prob = rf_model.predict_proba(X_test)[:,1]</t>
  </si>
  <si>
    <t>y_prob</t>
  </si>
  <si>
    <t>rf_model.predict_proba(X_test)[:,</t>
  </si>
  <si>
    <t>1]</t>
  </si>
  <si>
    <t>print("Accuracy:", accuracy_score(y_test, y_pred))</t>
  </si>
  <si>
    <t>threshold</t>
  </si>
  <si>
    <t>print("ROC AUC:", roc_auc_score(y_test, y_prob))</t>
  </si>
  <si>
    <t>y_pred</t>
  </si>
  <si>
    <t>(y_prob</t>
  </si>
  <si>
    <t>&gt;</t>
  </si>
  <si>
    <t>threshold).astype(int)</t>
  </si>
  <si>
    <t>Accuracy: 0.4872790404040404</t>
  </si>
  <si>
    <t>print(classification_report(y_test, y_pred))</t>
  </si>
  <si>
    <t>ROC AUC: 0.5341913731056899</t>
  </si>
  <si>
    <t xml:space="preserve">              precision    recall  f1-score   support</t>
  </si>
  <si>
    <t>Accuracy: 0.5639835858585859</t>
  </si>
  <si>
    <t xml:space="preserve">           0       0.72      0.42      0.53     21891</t>
  </si>
  <si>
    <t xml:space="preserve">           1       0.33      0.63      0.43      9789</t>
  </si>
  <si>
    <t>ROC AUC: 0.5699295703969349</t>
  </si>
  <si>
    <t xml:space="preserve">    accuracy                           0.49     31680</t>
  </si>
  <si>
    <t>precision recall f1-score support 0 0.73 0.59 0.65 21891 1 0.35 0.50 0.41 9789 accuracy 0.56 31680 macro avg 0.54 0.55 0.53 31680 weighted avg 0.61 0.56 0.58 31680</t>
  </si>
  <si>
    <t xml:space="preserve">   macro avg       0.52      0.53      0.48     31680</t>
  </si>
  <si>
    <t>weighted avg       0.60      0.49      0.50     31680</t>
  </si>
  <si>
    <t xml:space="preserve">feature importance </t>
  </si>
  <si>
    <t>ETD_Day                        0.167906</t>
  </si>
  <si>
    <t>ETD_Weekday                    0.120338</t>
  </si>
  <si>
    <t>Carrier_Route                  0.169781</t>
  </si>
  <si>
    <t>ETD_Month                      0.092950</t>
  </si>
  <si>
    <t>Carrier_Route_Delay_Rate       0.110759</t>
  </si>
  <si>
    <t>Carrier_Route                  0.075509</t>
  </si>
  <si>
    <t>Type                           0.091694</t>
  </si>
  <si>
    <t>Route                          0.063906</t>
  </si>
  <si>
    <t>Route                          0.088296</t>
  </si>
  <si>
    <t>Carrier_Route_Delay_Rate       0.054023</t>
  </si>
  <si>
    <t>ETD_Day                        0.077416</t>
  </si>
  <si>
    <t>Route_Delay_Rate               0.052958</t>
  </si>
  <si>
    <t>Route_Delay_Rate               0.070123</t>
  </si>
  <si>
    <t>Destination_Port               0.042114</t>
  </si>
  <si>
    <t>ETD_Weekday                    0.054662</t>
  </si>
  <si>
    <t>Destination_Port_Delay_Rate    0.042103</t>
  </si>
  <si>
    <t>ETD_Month                      0.045132</t>
  </si>
  <si>
    <t>Origin_Port                    0.041148</t>
  </si>
  <si>
    <t>Destination_Port               0.043709</t>
  </si>
  <si>
    <t>Origin_Port_Delay_Rate         0.040993</t>
  </si>
  <si>
    <t>Destination_Port_Delay_Rate    0.043446</t>
  </si>
  <si>
    <t>Container_Type_20GP            0.030577</t>
  </si>
  <si>
    <t>Origin_Port                    0.029367</t>
  </si>
  <si>
    <t>Container_Type_40HC            0.030404</t>
  </si>
  <si>
    <t>Origin_Port_Delay_Rate         0.028075</t>
  </si>
  <si>
    <t>Container_Type_40GP            0.030341</t>
  </si>
  <si>
    <t>Carrier_Delay_Rate             0.020111</t>
  </si>
  <si>
    <t>ETD_Quarter                    0.026858</t>
  </si>
  <si>
    <t>Container_Type_40HC            0.016139</t>
  </si>
  <si>
    <t>Container_Type_40GP            0.015499</t>
  </si>
  <si>
    <t>xgb_model = XGBClassifier(</t>
  </si>
  <si>
    <t>xgb_model</t>
  </si>
  <si>
    <t>XGBClassifier(</t>
  </si>
  <si>
    <t xml:space="preserve"> n_estimators=300,</t>
  </si>
  <si>
    <t>n_estimators=600,</t>
  </si>
  <si>
    <t xml:space="preserve"> max_depth=6,</t>
  </si>
  <si>
    <t>max_depth=8,</t>
  </si>
  <si>
    <t xml:space="preserve"> learning_rate=0.05,</t>
  </si>
  <si>
    <t>learning_rate=0.03,</t>
  </si>
  <si>
    <t xml:space="preserve"> subsample=0.8,</t>
  </si>
  <si>
    <t>subsample=0.9,</t>
  </si>
  <si>
    <t xml:space="preserve"> colsample_bytree=0.8,</t>
  </si>
  <si>
    <t>colsample_bytree=0.9,</t>
  </si>
  <si>
    <t xml:space="preserve"> scale_pos_weight=2.2,</t>
  </si>
  <si>
    <t>gamma=1,</t>
  </si>
  <si>
    <t xml:space="preserve"> random_state=42</t>
  </si>
  <si>
    <t>scale_pos_weight=2.2,</t>
  </si>
  <si>
    <t>xgb_model.fit(X_train, y_train)</t>
  </si>
  <si>
    <t>xgb_model.fit(X_train,</t>
  </si>
  <si>
    <t>y_pred = xgb_model.predict(X_test)</t>
  </si>
  <si>
    <t>xgb_model.predict(X_test)</t>
  </si>
  <si>
    <t>y_prob = xgb_model.predict_proba(X_test)[:,1]</t>
  </si>
  <si>
    <t>xgb_model.predict_proba(X_test)[:,1]</t>
  </si>
  <si>
    <t>print("Accuracy:",</t>
  </si>
  <si>
    <t>accuracy_score(y_test,</t>
  </si>
  <si>
    <t>y_pred))</t>
  </si>
  <si>
    <t>print("ROC</t>
  </si>
  <si>
    <t>AUC:",</t>
  </si>
  <si>
    <t>roc_auc_score(y_test,</t>
  </si>
  <si>
    <t>y_prob))</t>
  </si>
  <si>
    <t>print(classification_report(y_test,</t>
  </si>
  <si>
    <t>Accuracy: 0.5602272727272727</t>
  </si>
  <si>
    <t>Accuracy: 0.563415404040404</t>
  </si>
  <si>
    <t>ROC AUC: 0.5658240479806621</t>
  </si>
  <si>
    <t>ROC AUC: 0.5610457768223853</t>
  </si>
  <si>
    <t xml:space="preserve">           0       0.73      0.59      0.65     21891</t>
  </si>
  <si>
    <t xml:space="preserve">           0       0.72      0.60      0.66     21891</t>
  </si>
  <si>
    <t xml:space="preserve">           1       0.35      0.50      0.41      9789</t>
  </si>
  <si>
    <t xml:space="preserve">           1       0.35      0.48      0.40      9789</t>
  </si>
  <si>
    <t xml:space="preserve">    accuracy                           0.56     31680</t>
  </si>
  <si>
    <t xml:space="preserve">   macro avg       0.54      0.54      0.53     31680</t>
  </si>
  <si>
    <t xml:space="preserve">   macro avg       0.53      0.54      0.53     31680</t>
  </si>
  <si>
    <t>weighted avg       0.61      0.56      0.58     31680</t>
  </si>
  <si>
    <t>Type                           0.126750</t>
  </si>
  <si>
    <t>Type                           0.075350</t>
  </si>
  <si>
    <t>Carrier_Route                  0.095361</t>
  </si>
  <si>
    <t>Carrier_Route                  0.071547</t>
  </si>
  <si>
    <t>Carrier_Route_Delay_Rate       0.055116</t>
  </si>
  <si>
    <t>Carrier_Route_Delay_Rate       0.043362</t>
  </si>
  <si>
    <t>Trade_Asia-Europe              0.041893</t>
  </si>
  <si>
    <t>Trade_Trans-Pacific            0.039227</t>
  </si>
  <si>
    <t>Carrier_CMA CGM                0.038254</t>
  </si>
  <si>
    <t>Carrier_Evergreen              0.036973</t>
  </si>
  <si>
    <t>Trade_Trans-Pacific            0.036577</t>
  </si>
  <si>
    <t>Trade_North Atlantic           0.036088</t>
  </si>
  <si>
    <t>Trade_North Atlantic           0.032888</t>
  </si>
  <si>
    <t>Carrier_Maersk                 0.035587</t>
  </si>
  <si>
    <t>Carrier_COSCO                  0.029842</t>
  </si>
  <si>
    <t>Trade_S.America-Europe         0.034497</t>
  </si>
  <si>
    <t>Destination_Port_Delay_Rate    0.029808</t>
  </si>
  <si>
    <t>Route_Delay_Rate               0.034145</t>
  </si>
  <si>
    <t>Route                          0.029485</t>
  </si>
  <si>
    <t>Origin_Port_Delay_Rate         0.033968</t>
  </si>
  <si>
    <t>Origin_Port_Delay_Rate         0.029381</t>
  </si>
  <si>
    <t>Destination_Port_Delay_Rate    0.033912</t>
  </si>
  <si>
    <t>Route_Delay_Rate               0.029322</t>
  </si>
  <si>
    <t>Carrier_COSCO                  0.033818</t>
  </si>
  <si>
    <t>ETD_Quarter                    0.029169</t>
  </si>
  <si>
    <t>Carrier_MSC                    0.033411</t>
  </si>
  <si>
    <t>Carrier_Maersk                 0.028793</t>
  </si>
  <si>
    <t>Route                          0.032919</t>
  </si>
  <si>
    <t>Trade_S.America-Europe         0.028253</t>
  </si>
  <si>
    <t>Trade_Asia-Europe              0.032474</t>
  </si>
  <si>
    <t>Yokohama</t>
  </si>
  <si>
    <t>Kaohsiung</t>
  </si>
  <si>
    <t>Yantian</t>
  </si>
  <si>
    <t>Shekou</t>
  </si>
  <si>
    <t>Xiamen</t>
  </si>
  <si>
    <t>Qingdao</t>
  </si>
  <si>
    <t>Tianjin</t>
  </si>
  <si>
    <t>Port Klang</t>
  </si>
  <si>
    <t>Singapore</t>
  </si>
  <si>
    <t>Ho Chi Minh</t>
  </si>
  <si>
    <t>Haiphong</t>
  </si>
  <si>
    <t>Rotterdam</t>
  </si>
  <si>
    <t>Antwerp</t>
  </si>
  <si>
    <t>Hamburg</t>
  </si>
  <si>
    <t>Le Havre</t>
  </si>
  <si>
    <t>Southampton</t>
  </si>
  <si>
    <t>Felixstowe</t>
  </si>
  <si>
    <t>Bremerhaven</t>
  </si>
  <si>
    <t>Zeebrugge</t>
  </si>
  <si>
    <t>Lisbon</t>
  </si>
  <si>
    <t>Gdansk</t>
  </si>
  <si>
    <t>Santos</t>
  </si>
  <si>
    <t>Itapoa</t>
  </si>
  <si>
    <t>Rio Grande</t>
  </si>
  <si>
    <t>Paranagua</t>
  </si>
  <si>
    <t>Buenos Aires</t>
  </si>
  <si>
    <t>Montevideo</t>
  </si>
  <si>
    <t>Callao</t>
  </si>
  <si>
    <t>Guayaquil</t>
  </si>
  <si>
    <t>Valparaiso</t>
  </si>
  <si>
    <t>San Antonio</t>
  </si>
  <si>
    <t>Tacoma</t>
  </si>
  <si>
    <t>Oakland</t>
  </si>
  <si>
    <t>New York</t>
  </si>
  <si>
    <t>Norfolk</t>
  </si>
  <si>
    <t>Savannah</t>
  </si>
  <si>
    <t>Charleston</t>
  </si>
  <si>
    <t>Jacksonville</t>
  </si>
  <si>
    <t>Valencia</t>
  </si>
  <si>
    <t>Algeciras</t>
  </si>
  <si>
    <t>Piraeus</t>
  </si>
  <si>
    <t>Barcelona</t>
  </si>
  <si>
    <t>Baltimore</t>
  </si>
  <si>
    <t>Philadelphia</t>
  </si>
  <si>
    <t>Boston</t>
  </si>
  <si>
    <t>Halifax</t>
  </si>
  <si>
    <t>Houston</t>
  </si>
  <si>
    <t>Laem Chabang</t>
  </si>
  <si>
    <t>"</t>
  </si>
  <si>
    <t>"Shanghai","Ningbo","Busan","Yokohama","Kaohsiung","Yantian","Shekou","Xiamen","Qingdao","Tianjin","Port Klang","Singapore","Ho Chi Minh","Haiphong","Rotterdam","Antwerp","Hamburg","Le Havre","Southampton","Felixstowe","Bremerhaven","Zeebrugge","Lisbon","Gdansk","Santos","Itapoa","Rio Grande","Paranagua","Buenos Aires","Montevideo","Callao","Guayaquil","Valparaiso","San Antonio","Los Angeles","Long Beach","Seattle","Tacoma","Oakland","New York","Norfolk","Savannah","Charleston","Jacksonville","Valencia","Algeciras","Piraeus","Barcelona","Baltimore","Philadelphia","Boston","Halifax","Houston","Laem Chabang"</t>
  </si>
  <si>
    <t>origin_list = ["Shanghai","Ningbo","Busan","Yokohama","Kaohsiung","Yantian","Shekou","Xiamen","Qingdao","Tianjin",</t>
  </si>
  <si>
    <t xml:space="preserve">               "Port Klang","Singapore","Ho Chi Minh","Haiphong","Rotterdam","Antwerp","Hamburg","Le Havre","Southampton",</t>
  </si>
  <si>
    <t xml:space="preserve">               "Felixstowe","Bremerhaven","Zeebrugge","Lisbon","Gdansk","Santos","Itapoa","Rio Grande","Paranagua","Buenos Aires",</t>
  </si>
  <si>
    <t xml:space="preserve">               "Montevideo","Callao","Guayaquil","Valparaiso","San Antonio","Los Angeles","Long Beach","Seattle","Tacoma","Oakland",</t>
  </si>
  <si>
    <t xml:space="preserve">               "New York","Norfolk","Savannah","Charleston","Jacksonville","Valencia","Algeciras","Piraeus","Barcelona","Baltimore",</t>
  </si>
  <si>
    <t xml:space="preserve">               "Philadelphia","Boston","Halifax","Houston","Laem Chabang"]</t>
  </si>
  <si>
    <t>destination_list = ["Shanghai","Ningbo","Busan","Yokohama","Kaohsiung","Yantian","Shekou","Xiamen","Qingdao","Tianjin",</t>
  </si>
  <si>
    <t>carrier_list = ["MSC","Maersk","COSCO","CMA CGM","Hapag-Lloyd","Evergreen"]</t>
  </si>
  <si>
    <t>ports = ["Select Port"] + [</t>
  </si>
  <si>
    <t>"Shanghai","Ningbo","Busan","Yokohama","Kaohsiung","Yantian","Shekou","Xiamen","Qingdao",</t>
  </si>
  <si>
    <t>"Tianjin","Port Klang","Singapore","Ho Chi Minh","Haiphong","Rotterdam","Antwerp","Hamburg",</t>
  </si>
  <si>
    <t>"Le Havre","Southampton","Felixstowe","Bremerhaven","Zeebrugge","Lisbon","Gdansk","Santos","Itapoa",</t>
  </si>
  <si>
    <t>"Rio Grande","Paranagua","Buenos Aires","Montevideo","Callao","Guayaquil","Valparaiso","San Antonio",</t>
  </si>
  <si>
    <t>"Los Angeles","Long Beach","Seattle","Tacoma","Oakland","New York","Norfolk","Savannah","Charleston",</t>
  </si>
  <si>
    <t>"Jacksonville","Valencia","Algeciras","Piraeus","Barcelona","Baltimore","Philadelphia","Boston","Halifax",</t>
  </si>
  <si>
    <t>"Houston","Laem Chabang"</t>
  </si>
  <si>
    <t>]</t>
  </si>
  <si>
    <t>import streamlit as st</t>
  </si>
  <si>
    <t>from prediction_pipeline import predict_delay</t>
  </si>
  <si>
    <t>from mysql_connection import get_connection</t>
  </si>
  <si>
    <t>from pathlib import Path</t>
  </si>
  <si>
    <t>import base64</t>
  </si>
  <si>
    <t>st.set_page_config(page_title="Freight Shipment Delay Prediction", layout="wide")</t>
  </si>
  <si>
    <t># ---------- PATH SETUP ----------</t>
  </si>
  <si>
    <t>BASE_DIR = Path(__file__).resolve().parent</t>
  </si>
  <si>
    <t>IMAGE_DIR = BASE_DIR / "images"</t>
  </si>
  <si>
    <t>logo_path = IMAGE_DIR / "logo.png"</t>
  </si>
  <si>
    <t>bg_path = IMAGE_DIR / "bg.jpg"</t>
  </si>
  <si>
    <t># ---------- BACKGROUND ----------</t>
  </si>
  <si>
    <t>def set_bg():</t>
  </si>
  <si>
    <t xml:space="preserve">    with open(bg_path, "rb") as img:</t>
  </si>
  <si>
    <t xml:space="preserve">        encoded = base64.b64encode(img.read()).decode()</t>
  </si>
  <si>
    <t xml:space="preserve">    st.markdown(</t>
  </si>
  <si>
    <t xml:space="preserve">        f"""</t>
  </si>
  <si>
    <t xml:space="preserve">        &lt;style&gt;</t>
  </si>
  <si>
    <t xml:space="preserve">        .stApp {{</t>
  </si>
  <si>
    <t xml:space="preserve">            background-image: url("data:image/jpg;base64,{encoded}");</t>
  </si>
  <si>
    <t xml:space="preserve">            background-size: cover;</t>
  </si>
  <si>
    <t xml:space="preserve">            background-position: center;</t>
  </si>
  <si>
    <t xml:space="preserve">        }}</t>
  </si>
  <si>
    <t xml:space="preserve">        .help-button {{</t>
  </si>
  <si>
    <t xml:space="preserve">            position: fixed;</t>
  </si>
  <si>
    <t xml:space="preserve">            bottom: 30px;</t>
  </si>
  <si>
    <t xml:space="preserve">            right: 30px;</t>
  </si>
  <si>
    <t xml:space="preserve">            background-color: #0b3d91;</t>
  </si>
  <si>
    <t xml:space="preserve">            color: white;</t>
  </si>
  <si>
    <t xml:space="preserve">            border-radius: 50%;</t>
  </si>
  <si>
    <t xml:space="preserve">            width: 55px;</t>
  </si>
  <si>
    <t xml:space="preserve">            height: 55px;</t>
  </si>
  <si>
    <t xml:space="preserve">            text-align: center;</t>
  </si>
  <si>
    <t xml:space="preserve">            font-size: 28px;</t>
  </si>
  <si>
    <t xml:space="preserve">            line-height: 55px;</t>
  </si>
  <si>
    <t xml:space="preserve">            cursor: pointer;</t>
  </si>
  <si>
    <t xml:space="preserve">        &lt;/style&gt;</t>
  </si>
  <si>
    <t xml:space="preserve">        """,</t>
  </si>
  <si>
    <t xml:space="preserve">        unsafe_allow_html=True</t>
  </si>
  <si>
    <t xml:space="preserve">    )</t>
  </si>
  <si>
    <t>set_bg()</t>
  </si>
  <si>
    <t># ---------- HEADER ----------</t>
  </si>
  <si>
    <t>header1, header2 = st.columns([1, 6])</t>
  </si>
  <si>
    <t>with header1:</t>
  </si>
  <si>
    <t xml:space="preserve">    st.image(logo_path, width=110)</t>
  </si>
  <si>
    <t>with header2:</t>
  </si>
  <si>
    <t xml:space="preserve">        "&lt;h1 style='padding-top:15px;'&gt;Freight Shipment Delay Prediction&lt;/h1&gt;",</t>
  </si>
  <si>
    <t>st.write("")</t>
  </si>
  <si>
    <t># ---------- PORT LIST ----------</t>
  </si>
  <si>
    <t xml:space="preserve">    "Shanghai","Ningbo","Busan","Yokohama","Kaohsiung","Yantian","Shekou","Xiamen","Qingdao",</t>
  </si>
  <si>
    <t xml:space="preserve">    "Tianjin","Port Klang","Singapore","Ho Chi Minh","Haiphong","Rotterdam","Antwerp","Hamburg",</t>
  </si>
  <si>
    <t xml:space="preserve">    "Le Havre","Southampton","Felixstowe","Bremerhaven","Zeebrugge","Lisbon","Gdansk","Santos","Itapoa",</t>
  </si>
  <si>
    <t xml:space="preserve">    "Rio Grande","Paranagua","Buenos Aires","Montevideo","Callao","Guayaquil","Valparaiso","San Antonio",</t>
  </si>
  <si>
    <t xml:space="preserve">    "Los Angeles","Long Beach","Seattle","Tacoma","Oakland","New York","Norfolk","Savannah","Charleston",</t>
  </si>
  <si>
    <t xml:space="preserve">    "Jacksonville","Valencia","Algeciras","Piraeus","Barcelona","Baltimore","Philadelphia","Boston","Halifax",</t>
  </si>
  <si>
    <t xml:space="preserve">    "Houston","Laem Chabang"</t>
  </si>
  <si>
    <t># ---------- INPUT SECTION ----------</t>
  </si>
  <si>
    <t>col1, col2, col3, col4, col5 = st.columns(5)</t>
  </si>
  <si>
    <t>with col1:</t>
  </si>
  <si>
    <t xml:space="preserve">    origin = st.selectbox("Origin Port", ports)</t>
  </si>
  <si>
    <t>with col2:</t>
  </si>
  <si>
    <t xml:space="preserve">    destination = st.selectbox("Destination Port", ports)</t>
  </si>
  <si>
    <t>with col3:</t>
  </si>
  <si>
    <t xml:space="preserve">    carrier = st.selectbox(</t>
  </si>
  <si>
    <t xml:space="preserve">        "Carrier",</t>
  </si>
  <si>
    <t xml:space="preserve">        ["Select Carrier","MSC","Maersk","COSCO","CMA CGM","Hapag-Lloyd","Evergreen"]</t>
  </si>
  <si>
    <t>with col4:</t>
  </si>
  <si>
    <t xml:space="preserve">    container = st.selectbox(</t>
  </si>
  <si>
    <t xml:space="preserve">        "Container Type",</t>
  </si>
  <si>
    <t xml:space="preserve">        ["20GP","40GP","40HC"]</t>
  </si>
  <si>
    <t>with col5:</t>
  </si>
  <si>
    <t xml:space="preserve">    shipment_date = st.date_input("Shipment Date")</t>
  </si>
  <si>
    <t># ---------- PREDICT BUTTON ----------</t>
  </si>
  <si>
    <t>if st.button("Predict Delay"):</t>
  </si>
  <si>
    <t xml:space="preserve">    if origin == "Select Port" or destination == "Select Port":</t>
  </si>
  <si>
    <t xml:space="preserve">        st.warning("⚠️ Please select Origin and Destination Ports")</t>
  </si>
  <si>
    <t xml:space="preserve">    elif origin == destination:</t>
  </si>
  <si>
    <t xml:space="preserve">        st.warning("⚠️ Origin and Destination cannot be the same port")</t>
  </si>
  <si>
    <t xml:space="preserve">    elif carrier == "Select Carrier":</t>
  </si>
  <si>
    <t xml:space="preserve">        st.warning("⚠️ Please select a carrier")</t>
  </si>
  <si>
    <t xml:space="preserve">    else:</t>
  </si>
  <si>
    <t xml:space="preserve">        st.session_state["origin"] = origin</t>
  </si>
  <si>
    <t xml:space="preserve">        st.session_state["destination"] = destination</t>
  </si>
  <si>
    <t xml:space="preserve">        st.session_state["carrier"] = carrier</t>
  </si>
  <si>
    <t xml:space="preserve">        st.session_state["container"] = container</t>
  </si>
  <si>
    <t xml:space="preserve">        st.session_state["shipment_date"] = shipment_date</t>
  </si>
  <si>
    <t xml:space="preserve">        st.switch_page("pages/result.py")</t>
  </si>
  <si>
    <t># ---------- HELP ICON ----------</t>
  </si>
  <si>
    <t>st.markdown(</t>
  </si>
  <si>
    <t xml:space="preserve">    """</t>
  </si>
  <si>
    <t xml:space="preserve">    &lt;div class="help-button"&gt;?&lt;/div&gt;</t>
  </si>
  <si>
    <t xml:space="preserve">    """,</t>
  </si>
  <si>
    <t xml:space="preserve">    unsafe_allow_html=True</t>
  </si>
  <si>
    <t>C:\Users\hariharan.b_freighti\PycharmProjects\PythonProject\Project_2</t>
  </si>
  <si>
    <t>.\.venv\Scripts\python -m streamlit run app/app.py</t>
  </si>
  <si>
    <t>.\.venv\Scripts\python -m pip install mysql-connector-python</t>
  </si>
  <si>
    <t>@app.post("/predict")</t>
  </si>
  <si>
    <t>def predict_shipment(data:ShipmentInput):</t>
  </si>
  <si>
    <t xml:space="preserve">    logger.info(data)</t>
  </si>
  <si>
    <t xml:space="preserve">    print("data",data)</t>
  </si>
  <si>
    <t xml:space="preserve">    start_time=datetime.now()</t>
  </si>
  <si>
    <t xml:space="preserve">    df=pd.DataFrame({</t>
  </si>
  <si>
    <t xml:space="preserve">        "Origin_Port":[data.origin],</t>
  </si>
  <si>
    <t xml:space="preserve">        "Destination_Port":[data.destination],</t>
  </si>
  <si>
    <t xml:space="preserve">        "Carrier":data.carrier,</t>
  </si>
  <si>
    <t xml:space="preserve">        "Container_Type":[data.container],</t>
  </si>
  <si>
    <t xml:space="preserve">        "ETD":[data.shipment_date]</t>
  </si>
  <si>
    <t xml:space="preserve">    })</t>
  </si>
  <si>
    <t xml:space="preserve">    prediction,probability=predict_delay(df)</t>
  </si>
  <si>
    <t xml:space="preserve">    end_time=datetime.now()</t>
  </si>
  <si>
    <t xml:space="preserve">    conn=get_connection()</t>
  </si>
  <si>
    <t xml:space="preserve">    cursor=conn.cursor()</t>
  </si>
  <si>
    <t xml:space="preserve">    query="""</t>
  </si>
  <si>
    <t xml:space="preserve">    INSERT INTO shipment_predictions</t>
  </si>
  <si>
    <t xml:space="preserve">    (origin_port,destination_port,carrier,</t>
  </si>
  <si>
    <t xml:space="preserve">    container_type,shipment_date,</t>
  </si>
  <si>
    <t xml:space="preserve">    delay_prediction,delay_probability,</t>
  </si>
  <si>
    <t xml:space="preserve">    start_time,end_time)</t>
  </si>
  <si>
    <t xml:space="preserve">    VALUES (%s,%s,%s,%s,%s,%s,%s,%s,%s)</t>
  </si>
  <si>
    <t xml:space="preserve">    values=(</t>
  </si>
  <si>
    <t xml:space="preserve">        data.origin,</t>
  </si>
  <si>
    <t xml:space="preserve">        data.destination,</t>
  </si>
  <si>
    <t xml:space="preserve">        data.carrier,</t>
  </si>
  <si>
    <t xml:space="preserve">        data.container,</t>
  </si>
  <si>
    <t xml:space="preserve">        data.shipment_date,</t>
  </si>
  <si>
    <t xml:space="preserve">        int(prediction),</t>
  </si>
  <si>
    <t xml:space="preserve">        float(probability),</t>
  </si>
  <si>
    <t xml:space="preserve">        start_time,</t>
  </si>
  <si>
    <t xml:space="preserve">        end_time</t>
  </si>
  <si>
    <t xml:space="preserve">    cursor.execute(query,values)</t>
  </si>
  <si>
    <t xml:space="preserve">    conn.commit()</t>
  </si>
  <si>
    <t xml:space="preserve">    return{</t>
  </si>
  <si>
    <t xml:space="preserve">        "prediction":int(prediction),</t>
  </si>
  <si>
    <t xml:space="preserve">        "probability":float(probability)</t>
  </si>
  <si>
    <t>from fastapi import FastAPI</t>
  </si>
  <si>
    <t>from pydantic import BaseModel</t>
  </si>
  <si>
    <t>import pandas as pd</t>
  </si>
  <si>
    <t>from datetime import datetime</t>
  </si>
  <si>
    <t>from typing import List</t>
  </si>
  <si>
    <t>from pipeline.prediction_pipeline import predict_delay</t>
  </si>
  <si>
    <t>from app.mysql_connection import get_connection</t>
  </si>
  <si>
    <t>import logging</t>
  </si>
  <si>
    <t>app=FastAPI(redirect_slashes=False)</t>
  </si>
  <si>
    <t>logger = logging.getLogger()</t>
  </si>
  <si>
    <t>class ShipmentInput(BaseModel):</t>
  </si>
  <si>
    <t xml:space="preserve">    origin:str</t>
  </si>
  <si>
    <t xml:space="preserve">    destination:str</t>
  </si>
  <si>
    <t xml:space="preserve">    carrier:List[str]</t>
  </si>
  <si>
    <t xml:space="preserve">    container:str</t>
  </si>
  <si>
    <t xml:space="preserve">    shipment_date:str</t>
  </si>
  <si>
    <t xml:space="preserve">    }</t>
  </si>
  <si>
    <t>Shanghai,Ningbo,Busan,Yokohama,Kaohsiung,Yantian,Shekou,Xiamen,Qingdao,Tianjin,Nansha,Laem Chabang</t>
  </si>
  <si>
    <t>Los Angeles,Long Beach,Seattle,Tacoma,Oakland,New York,Norfolk,Savannah,Charleston,Jacksonville,Houston,Miami,Vancouver</t>
  </si>
  <si>
    <t>Shanghai,Ningbo,Busan,Yokohama,Kaohsiung,Yantian,Port Klang,Singapore,Ho Chi Minh,Haiphong,Dubai,Jebel Ali</t>
  </si>
  <si>
    <t>Rotterdam,Antwerp,Hamburg,Le Havre,Southampton,Felixstowe,Valencia,Algeciras,Piraeus,Barcelona,Gdansk,Tangier</t>
  </si>
  <si>
    <t>Rotterdam,Antwerp,Hamburg,Le Havre,Southampton,Felixstowe,Bremerhaven,Zeebrugge,Lisbon,Gdansk,Leixoes</t>
  </si>
  <si>
    <t>New York,Norfolk,Baltimore,Philadelphia,Boston,Halifax,Montreal,Halifax,Jacksonville,Savannah,Charleston,Houston</t>
  </si>
  <si>
    <t>Shanghai,Ningbo,Busan,Yokohama,Kaohsiung,Yantian,Port Klang,Singapore,Ho Chi Minh,Haiphong,Laem Chabang,Jakarta</t>
  </si>
  <si>
    <t>Shanghai,Ningbo,Busan,Yokohama,Kaohsiung,Yantian,Port Klang,Singapore,Ho Chi Minh,Haiphong,Laem Chabang</t>
  </si>
  <si>
    <t>Santos,Itapoa,Rio Grande,Paranagua,Buenos Aires,Montevideo,Callao,Guayaquil,Valparaiso,San Antonio</t>
  </si>
  <si>
    <t>Rotterdam,Antwerp,Hamburg,Le Havre,Southampton,Felixstowe,Valencia,Algeciras,Piraeus,Barcelona,Tangier,Gdansk</t>
  </si>
  <si>
    <t>Trans-Pacific (NA-Asia)</t>
  </si>
  <si>
    <t>Europe-Asia (via Cape)</t>
  </si>
  <si>
    <t>North Atlantic (NA-Europe)</t>
  </si>
  <si>
    <t>New York,Norfolk,Baltimore,Philadelphia,Boston,Halifax,Montreal,Jacksonville,Savannah,Charleston,Houston</t>
  </si>
  <si>
    <t>Europe-South America</t>
  </si>
  <si>
    <t>2024 Delay %</t>
  </si>
  <si>
    <t>2024 On-Time %</t>
  </si>
  <si>
    <t>2025 Delay %</t>
  </si>
  <si>
    <t>2025 On-Time %</t>
  </si>
  <si>
    <t>Trans-Pacific (Asia-NA) Export</t>
  </si>
  <si>
    <t>Asia-Europe (via Suez/Cape) Export</t>
  </si>
  <si>
    <t>North Atlantic (Europe-NA) Export</t>
  </si>
  <si>
    <t>Intra-Asia Export</t>
  </si>
  <si>
    <t>South America-Europe Export</t>
  </si>
  <si>
    <t>Trans-Pacific (NA-Asia) Import</t>
  </si>
  <si>
    <t>Europe-Asia (via Cape) Import</t>
  </si>
  <si>
    <t>North Atlantic (NA-Europe) Import</t>
  </si>
  <si>
    <t>Intra-Asia Import</t>
  </si>
  <si>
    <t>Europe-South America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</si>
</sst>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0" borderId="0" xfId="0" applyAlignment="1">
      <alignment vertical="top" wrapText="1"/>
    </xf>
    <xf numFmtId="9" fontId="0" fillId="0" borderId="0" xfId="0" applyNumberFormat="1"/>
    <xf numFmtId="0" fontId="0" fillId="3" borderId="1" xfId="0" applyFill="1" applyBorder="1"/>
    <xf numFmtId="9" fontId="0" fillId="0" borderId="1" xfId="0" applyNumberFormat="1" applyBorder="1"/>
    <xf numFmtId="0" fontId="0" fillId="0" borderId="0" xfId="0" quotePrefix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015A-C7B2-4050-8F8F-882E7C3F4300}">
  <dimension ref="A2:G62"/>
  <sheetViews>
    <sheetView workbookViewId="0"/>
  </sheetViews>
  <sheetFormatPr defaultRowHeight="14.4" x14ac:dyDescent="0.3"/>
  <cols>
    <col min="1" max="1" width="67.5546875" customWidth="1"/>
    <col min="3" max="3" width="20.88671875" bestFit="1" customWidth="1"/>
    <col min="4" max="5" width="16" bestFit="1" customWidth="1"/>
    <col min="6" max="6" width="19" bestFit="1" customWidth="1"/>
    <col min="7" max="7" width="26.33203125" bestFit="1" customWidth="1"/>
    <col min="8" max="8" width="79.5546875" customWidth="1"/>
    <col min="9" max="9" width="123.6640625" bestFit="1" customWidth="1"/>
  </cols>
  <sheetData>
    <row r="2" spans="2:7" x14ac:dyDescent="0.3">
      <c r="C2" t="s">
        <v>0</v>
      </c>
      <c r="D2" t="s">
        <v>31</v>
      </c>
      <c r="E2" t="s">
        <v>32</v>
      </c>
      <c r="F2" t="s">
        <v>34</v>
      </c>
      <c r="G2" t="s">
        <v>35</v>
      </c>
    </row>
    <row r="3" spans="2:7" x14ac:dyDescent="0.3">
      <c r="C3" t="s">
        <v>3</v>
      </c>
      <c r="D3" t="s">
        <v>33</v>
      </c>
      <c r="E3" t="s">
        <v>33</v>
      </c>
      <c r="F3">
        <v>100</v>
      </c>
      <c r="G3">
        <v>100</v>
      </c>
    </row>
    <row r="4" spans="2:7" x14ac:dyDescent="0.3">
      <c r="C4" t="s">
        <v>4</v>
      </c>
      <c r="D4" t="s">
        <v>33</v>
      </c>
      <c r="E4" t="s">
        <v>33</v>
      </c>
      <c r="F4">
        <v>100</v>
      </c>
      <c r="G4">
        <v>100</v>
      </c>
    </row>
    <row r="5" spans="2:7" x14ac:dyDescent="0.3">
      <c r="C5" t="s">
        <v>5</v>
      </c>
      <c r="D5" t="s">
        <v>33</v>
      </c>
      <c r="E5" t="s">
        <v>33</v>
      </c>
      <c r="F5">
        <v>100</v>
      </c>
      <c r="G5">
        <v>100</v>
      </c>
    </row>
    <row r="6" spans="2:7" x14ac:dyDescent="0.3">
      <c r="C6" t="s">
        <v>8</v>
      </c>
      <c r="D6" t="s">
        <v>33</v>
      </c>
      <c r="E6" t="s">
        <v>33</v>
      </c>
      <c r="F6">
        <v>100</v>
      </c>
      <c r="G6">
        <v>100</v>
      </c>
    </row>
    <row r="7" spans="2:7" x14ac:dyDescent="0.3">
      <c r="C7" t="s">
        <v>10</v>
      </c>
      <c r="D7" t="s">
        <v>33</v>
      </c>
      <c r="E7" t="s">
        <v>33</v>
      </c>
      <c r="F7">
        <v>100</v>
      </c>
      <c r="G7">
        <v>100</v>
      </c>
    </row>
    <row r="10" spans="2:7" x14ac:dyDescent="0.3">
      <c r="E10">
        <v>1000</v>
      </c>
      <c r="F10">
        <v>24</v>
      </c>
    </row>
    <row r="11" spans="2:7" x14ac:dyDescent="0.3">
      <c r="B11">
        <v>5</v>
      </c>
      <c r="C11">
        <v>4800</v>
      </c>
      <c r="D11">
        <f>B11*C11</f>
        <v>24000</v>
      </c>
      <c r="F11">
        <f>+E10*F10</f>
        <v>24000</v>
      </c>
    </row>
    <row r="12" spans="2:7" x14ac:dyDescent="0.3">
      <c r="D12">
        <f>D11*3</f>
        <v>72000</v>
      </c>
    </row>
    <row r="17" spans="1:1" ht="409.6" x14ac:dyDescent="0.3">
      <c r="A17" s="6" t="s">
        <v>127</v>
      </c>
    </row>
    <row r="21" spans="1:1" x14ac:dyDescent="0.3">
      <c r="A21" s="3" t="s">
        <v>128</v>
      </c>
    </row>
    <row r="25" spans="1:1" x14ac:dyDescent="0.3">
      <c r="A25" t="s">
        <v>129</v>
      </c>
    </row>
    <row r="26" spans="1:1" x14ac:dyDescent="0.3">
      <c r="A26" t="s">
        <v>130</v>
      </c>
    </row>
    <row r="27" spans="1:1" x14ac:dyDescent="0.3">
      <c r="A27" t="s">
        <v>131</v>
      </c>
    </row>
    <row r="28" spans="1:1" x14ac:dyDescent="0.3">
      <c r="A28" t="s">
        <v>132</v>
      </c>
    </row>
    <row r="29" spans="1:1" x14ac:dyDescent="0.3">
      <c r="A29" t="s">
        <v>133</v>
      </c>
    </row>
    <row r="34" spans="1:5" x14ac:dyDescent="0.3">
      <c r="A34" t="s">
        <v>99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3">
      <c r="A35" t="s">
        <v>3</v>
      </c>
      <c r="B35">
        <v>2400</v>
      </c>
      <c r="C35" s="7">
        <v>0.34</v>
      </c>
      <c r="D35" s="7">
        <v>0.22</v>
      </c>
      <c r="E35" t="s">
        <v>138</v>
      </c>
    </row>
    <row r="36" spans="1:5" x14ac:dyDescent="0.3">
      <c r="A36" t="s">
        <v>4</v>
      </c>
      <c r="B36">
        <v>2400</v>
      </c>
      <c r="C36" s="7">
        <v>0.42</v>
      </c>
      <c r="D36" s="7">
        <v>0.34</v>
      </c>
      <c r="E36" t="s">
        <v>139</v>
      </c>
    </row>
    <row r="37" spans="1:5" x14ac:dyDescent="0.3">
      <c r="A37" t="s">
        <v>5</v>
      </c>
      <c r="B37">
        <v>2400</v>
      </c>
      <c r="C37" s="7">
        <v>0.35</v>
      </c>
      <c r="D37" s="7">
        <v>0.32</v>
      </c>
      <c r="E37" t="s">
        <v>140</v>
      </c>
    </row>
    <row r="38" spans="1:5" x14ac:dyDescent="0.3">
      <c r="A38" t="s">
        <v>8</v>
      </c>
      <c r="B38">
        <v>2400</v>
      </c>
      <c r="C38" s="7">
        <v>0.28000000000000003</v>
      </c>
      <c r="D38" s="7">
        <v>0.25</v>
      </c>
      <c r="E38" t="s">
        <v>141</v>
      </c>
    </row>
    <row r="39" spans="1:5" x14ac:dyDescent="0.3">
      <c r="A39" t="s">
        <v>142</v>
      </c>
      <c r="B39">
        <v>2400</v>
      </c>
      <c r="C39" s="7">
        <v>0.35</v>
      </c>
      <c r="D39" s="7">
        <v>0.32</v>
      </c>
      <c r="E39" t="s">
        <v>140</v>
      </c>
    </row>
    <row r="47" spans="1:5" x14ac:dyDescent="0.3">
      <c r="A47" t="s">
        <v>143</v>
      </c>
      <c r="B47" t="s">
        <v>144</v>
      </c>
      <c r="C47" t="s">
        <v>145</v>
      </c>
    </row>
    <row r="48" spans="1:5" x14ac:dyDescent="0.3">
      <c r="A48" t="s">
        <v>146</v>
      </c>
      <c r="B48" t="s">
        <v>147</v>
      </c>
      <c r="C48" t="s">
        <v>148</v>
      </c>
    </row>
    <row r="49" spans="1:3" x14ac:dyDescent="0.3">
      <c r="A49" t="s">
        <v>48</v>
      </c>
      <c r="B49" t="s">
        <v>149</v>
      </c>
      <c r="C49" t="s">
        <v>150</v>
      </c>
    </row>
    <row r="50" spans="1:3" x14ac:dyDescent="0.3">
      <c r="A50" t="s">
        <v>151</v>
      </c>
      <c r="B50" t="s">
        <v>152</v>
      </c>
      <c r="C50" t="s">
        <v>153</v>
      </c>
    </row>
    <row r="51" spans="1:3" x14ac:dyDescent="0.3">
      <c r="A51" t="s">
        <v>154</v>
      </c>
      <c r="B51" t="s">
        <v>155</v>
      </c>
      <c r="C51" t="s">
        <v>156</v>
      </c>
    </row>
    <row r="52" spans="1:3" x14ac:dyDescent="0.3">
      <c r="A52" t="s">
        <v>157</v>
      </c>
      <c r="B52" t="s">
        <v>158</v>
      </c>
      <c r="C52" t="s">
        <v>159</v>
      </c>
    </row>
    <row r="53" spans="1:3" x14ac:dyDescent="0.3">
      <c r="A53" t="s">
        <v>88</v>
      </c>
      <c r="B53" t="s">
        <v>160</v>
      </c>
      <c r="C53" t="s">
        <v>161</v>
      </c>
    </row>
    <row r="54" spans="1:3" x14ac:dyDescent="0.3">
      <c r="A54" t="s">
        <v>162</v>
      </c>
      <c r="B54" t="s">
        <v>163</v>
      </c>
      <c r="C54" t="s">
        <v>164</v>
      </c>
    </row>
    <row r="55" spans="1:3" x14ac:dyDescent="0.3">
      <c r="A55" t="s">
        <v>165</v>
      </c>
      <c r="B55" t="s">
        <v>166</v>
      </c>
      <c r="C55" t="s">
        <v>167</v>
      </c>
    </row>
    <row r="56" spans="1:3" x14ac:dyDescent="0.3">
      <c r="A56" t="s">
        <v>122</v>
      </c>
      <c r="B56" t="s">
        <v>168</v>
      </c>
      <c r="C56" t="s">
        <v>169</v>
      </c>
    </row>
    <row r="57" spans="1:3" x14ac:dyDescent="0.3">
      <c r="A57" t="s">
        <v>123</v>
      </c>
      <c r="B57" t="s">
        <v>170</v>
      </c>
      <c r="C57" t="s">
        <v>171</v>
      </c>
    </row>
    <row r="58" spans="1:3" x14ac:dyDescent="0.3">
      <c r="A58" t="s">
        <v>124</v>
      </c>
      <c r="B58" t="s">
        <v>172</v>
      </c>
      <c r="C58" t="s">
        <v>173</v>
      </c>
    </row>
    <row r="59" spans="1:3" x14ac:dyDescent="0.3">
      <c r="A59" t="s">
        <v>125</v>
      </c>
      <c r="B59" t="s">
        <v>174</v>
      </c>
      <c r="C59" t="s">
        <v>159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126</v>
      </c>
      <c r="B61" t="s">
        <v>178</v>
      </c>
      <c r="C61" t="s">
        <v>179</v>
      </c>
    </row>
    <row r="62" spans="1:3" x14ac:dyDescent="0.3">
      <c r="A62" t="s">
        <v>99</v>
      </c>
      <c r="B62" t="s">
        <v>180</v>
      </c>
      <c r="C62" t="s">
        <v>181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C79A-C7B0-4064-AF38-0BEB5C74A394}">
  <dimension ref="D5:V37"/>
  <sheetViews>
    <sheetView tabSelected="1" topLeftCell="A4" workbookViewId="0">
      <selection activeCell="I23" sqref="I23"/>
    </sheetView>
  </sheetViews>
  <sheetFormatPr defaultRowHeight="14.4" x14ac:dyDescent="0.3"/>
  <cols>
    <col min="4" max="4" width="17.44140625" bestFit="1" customWidth="1"/>
    <col min="5" max="5" width="17.109375" customWidth="1"/>
    <col min="6" max="6" width="16.5546875" customWidth="1"/>
    <col min="7" max="7" width="12.44140625" bestFit="1" customWidth="1"/>
    <col min="8" max="8" width="12.33203125" bestFit="1" customWidth="1"/>
    <col min="9" max="9" width="12.44140625" bestFit="1" customWidth="1"/>
    <col min="13" max="13" width="16.109375" bestFit="1" customWidth="1"/>
    <col min="14" max="14" width="11" bestFit="1" customWidth="1"/>
    <col min="15" max="16" width="12.33203125" bestFit="1" customWidth="1"/>
    <col min="17" max="18" width="12.44140625" bestFit="1" customWidth="1"/>
    <col min="19" max="20" width="12.33203125" bestFit="1" customWidth="1"/>
    <col min="21" max="22" width="12.44140625" bestFit="1" customWidth="1"/>
  </cols>
  <sheetData>
    <row r="5" spans="4:22" x14ac:dyDescent="0.3">
      <c r="O5" t="s">
        <v>184</v>
      </c>
      <c r="P5" t="s">
        <v>185</v>
      </c>
      <c r="Q5" t="s">
        <v>184</v>
      </c>
      <c r="R5" t="s">
        <v>185</v>
      </c>
      <c r="S5" t="s">
        <v>184</v>
      </c>
      <c r="T5" t="s">
        <v>185</v>
      </c>
      <c r="U5" t="s">
        <v>184</v>
      </c>
      <c r="V5" t="s">
        <v>185</v>
      </c>
    </row>
    <row r="6" spans="4:22" x14ac:dyDescent="0.3">
      <c r="D6" s="8" t="s">
        <v>0</v>
      </c>
      <c r="E6" s="8" t="s">
        <v>48</v>
      </c>
      <c r="F6" s="8" t="s">
        <v>49</v>
      </c>
      <c r="G6" s="8" t="s">
        <v>50</v>
      </c>
      <c r="H6" s="8" t="s">
        <v>51</v>
      </c>
      <c r="I6" s="8" t="s">
        <v>52</v>
      </c>
      <c r="M6" s="8" t="s">
        <v>0</v>
      </c>
      <c r="N6" s="8" t="s">
        <v>48</v>
      </c>
      <c r="O6" s="8" t="s">
        <v>49</v>
      </c>
      <c r="P6" s="8" t="s">
        <v>49</v>
      </c>
      <c r="Q6" s="8" t="s">
        <v>50</v>
      </c>
      <c r="R6" s="8" t="s">
        <v>50</v>
      </c>
      <c r="S6" s="8" t="s">
        <v>51</v>
      </c>
      <c r="T6" s="8" t="s">
        <v>51</v>
      </c>
      <c r="U6" s="8" t="s">
        <v>52</v>
      </c>
      <c r="V6" s="8" t="s">
        <v>52</v>
      </c>
    </row>
    <row r="7" spans="4:22" x14ac:dyDescent="0.3">
      <c r="D7" s="1" t="s">
        <v>3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M7" s="1" t="s">
        <v>3</v>
      </c>
      <c r="N7" s="1" t="s">
        <v>53</v>
      </c>
      <c r="O7" s="9">
        <v>0.28000000000000003</v>
      </c>
      <c r="P7" s="9">
        <v>0.72</v>
      </c>
      <c r="Q7" s="9">
        <v>0.36</v>
      </c>
      <c r="R7" s="9">
        <v>0.64</v>
      </c>
      <c r="S7" s="9">
        <v>0.16</v>
      </c>
      <c r="T7" s="9">
        <v>0.84</v>
      </c>
      <c r="U7" s="9">
        <v>0.24</v>
      </c>
      <c r="V7" s="9">
        <v>0.76</v>
      </c>
    </row>
    <row r="8" spans="4:22" x14ac:dyDescent="0.3">
      <c r="D8" s="1" t="s">
        <v>3</v>
      </c>
      <c r="E8" s="1" t="s">
        <v>58</v>
      </c>
      <c r="F8" s="1" t="s">
        <v>7</v>
      </c>
      <c r="G8" s="1" t="s">
        <v>59</v>
      </c>
      <c r="H8" s="1" t="s">
        <v>60</v>
      </c>
      <c r="I8" s="1" t="s">
        <v>61</v>
      </c>
      <c r="M8" s="1" t="s">
        <v>3</v>
      </c>
      <c r="N8" s="1" t="s">
        <v>58</v>
      </c>
      <c r="O8" s="9">
        <v>0.32</v>
      </c>
      <c r="P8" s="9">
        <v>0.67999999999999994</v>
      </c>
      <c r="Q8" s="9">
        <v>0.38</v>
      </c>
      <c r="R8" s="9">
        <v>0.62</v>
      </c>
      <c r="S8" s="9">
        <v>0.2</v>
      </c>
      <c r="T8" s="9">
        <v>0.8</v>
      </c>
      <c r="U8" s="9">
        <v>0.26</v>
      </c>
      <c r="V8" s="9">
        <v>0.74</v>
      </c>
    </row>
    <row r="9" spans="4:22" x14ac:dyDescent="0.3">
      <c r="D9" s="1" t="s">
        <v>3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66</v>
      </c>
      <c r="M9" s="1" t="s">
        <v>3</v>
      </c>
      <c r="N9" s="1" t="s">
        <v>62</v>
      </c>
      <c r="O9" s="9">
        <v>0.33</v>
      </c>
      <c r="P9" s="9">
        <v>0.66999999999999993</v>
      </c>
      <c r="Q9" s="9">
        <v>0.39</v>
      </c>
      <c r="R9" s="9">
        <v>0.61</v>
      </c>
      <c r="S9" s="9">
        <v>0.21</v>
      </c>
      <c r="T9" s="9">
        <v>0.79</v>
      </c>
      <c r="U9" s="9">
        <v>0.27</v>
      </c>
      <c r="V9" s="9">
        <v>0.73</v>
      </c>
    </row>
    <row r="10" spans="4:22" x14ac:dyDescent="0.3">
      <c r="D10" s="1" t="s">
        <v>4</v>
      </c>
      <c r="E10" s="1" t="s">
        <v>53</v>
      </c>
      <c r="F10" s="1" t="s">
        <v>67</v>
      </c>
      <c r="G10" s="1" t="s">
        <v>68</v>
      </c>
      <c r="H10" s="1" t="s">
        <v>69</v>
      </c>
      <c r="I10" s="1" t="s">
        <v>70</v>
      </c>
      <c r="M10" s="1" t="s">
        <v>4</v>
      </c>
      <c r="N10" s="1" t="s">
        <v>53</v>
      </c>
      <c r="O10" s="9">
        <v>0.35</v>
      </c>
      <c r="P10" s="9">
        <v>0.65</v>
      </c>
      <c r="Q10" s="9">
        <v>0.42</v>
      </c>
      <c r="R10" s="9">
        <v>0.58000000000000007</v>
      </c>
      <c r="S10" s="9">
        <v>0.25</v>
      </c>
      <c r="T10" s="9">
        <v>0.75</v>
      </c>
      <c r="U10" s="9">
        <v>0.34</v>
      </c>
      <c r="V10" s="9">
        <v>0.65999999999999992</v>
      </c>
    </row>
    <row r="11" spans="4:22" x14ac:dyDescent="0.3">
      <c r="D11" s="1" t="s">
        <v>4</v>
      </c>
      <c r="E11" s="1" t="s">
        <v>71</v>
      </c>
      <c r="F11" s="1" t="s">
        <v>30</v>
      </c>
      <c r="G11" s="1" t="s">
        <v>72</v>
      </c>
      <c r="H11" s="1" t="s">
        <v>7</v>
      </c>
      <c r="I11" s="1" t="s">
        <v>73</v>
      </c>
      <c r="M11" s="1" t="s">
        <v>4</v>
      </c>
      <c r="N11" s="1" t="s">
        <v>71</v>
      </c>
      <c r="O11" s="9">
        <v>0.4</v>
      </c>
      <c r="P11" s="9">
        <v>0.6</v>
      </c>
      <c r="Q11" s="9">
        <v>0.48</v>
      </c>
      <c r="R11" s="9">
        <v>0.52</v>
      </c>
      <c r="S11" s="9">
        <v>0.32</v>
      </c>
      <c r="T11" s="9">
        <v>0.67999999999999994</v>
      </c>
      <c r="U11" s="9">
        <v>0.4</v>
      </c>
      <c r="V11" s="9">
        <v>0.6</v>
      </c>
    </row>
    <row r="12" spans="4:22" x14ac:dyDescent="0.3">
      <c r="D12" s="1" t="s">
        <v>4</v>
      </c>
      <c r="E12" s="1" t="s">
        <v>74</v>
      </c>
      <c r="F12" s="1" t="s">
        <v>75</v>
      </c>
      <c r="G12" s="1" t="s">
        <v>76</v>
      </c>
      <c r="H12" s="1" t="s">
        <v>77</v>
      </c>
      <c r="I12" s="1" t="s">
        <v>59</v>
      </c>
      <c r="M12" s="1" t="s">
        <v>4</v>
      </c>
      <c r="N12" s="1" t="s">
        <v>74</v>
      </c>
      <c r="O12" s="9">
        <v>0.38</v>
      </c>
      <c r="P12" s="9">
        <v>0.62</v>
      </c>
      <c r="Q12" s="9">
        <v>0.46</v>
      </c>
      <c r="R12" s="9">
        <v>0.54</v>
      </c>
      <c r="S12" s="9">
        <v>0.3</v>
      </c>
      <c r="T12" s="9">
        <v>0.7</v>
      </c>
      <c r="U12" s="9">
        <v>0.38</v>
      </c>
      <c r="V12" s="9">
        <v>0.62</v>
      </c>
    </row>
    <row r="13" spans="4:22" x14ac:dyDescent="0.3">
      <c r="D13" s="1" t="s">
        <v>5</v>
      </c>
      <c r="E13" s="1" t="s">
        <v>58</v>
      </c>
      <c r="F13" s="1" t="s">
        <v>7</v>
      </c>
      <c r="G13" s="1" t="s">
        <v>78</v>
      </c>
      <c r="H13" s="1" t="s">
        <v>54</v>
      </c>
      <c r="I13" s="1" t="s">
        <v>70</v>
      </c>
      <c r="M13" s="1" t="s">
        <v>5</v>
      </c>
      <c r="N13" s="1" t="s">
        <v>58</v>
      </c>
      <c r="O13" s="9">
        <v>0.32</v>
      </c>
      <c r="P13" s="9">
        <v>0.67999999999999994</v>
      </c>
      <c r="Q13" s="9">
        <v>0.37</v>
      </c>
      <c r="R13" s="9">
        <v>0.63</v>
      </c>
      <c r="S13" s="9">
        <v>0.28000000000000003</v>
      </c>
      <c r="T13" s="9">
        <v>0.72</v>
      </c>
      <c r="U13" s="9">
        <v>0.34</v>
      </c>
      <c r="V13" s="9">
        <v>0.65999999999999992</v>
      </c>
    </row>
    <row r="14" spans="4:22" x14ac:dyDescent="0.3">
      <c r="D14" s="1" t="s">
        <v>5</v>
      </c>
      <c r="E14" s="1" t="s">
        <v>53</v>
      </c>
      <c r="F14" s="1" t="s">
        <v>77</v>
      </c>
      <c r="G14" s="1" t="s">
        <v>55</v>
      </c>
      <c r="H14" s="1" t="s">
        <v>61</v>
      </c>
      <c r="I14" s="1" t="s">
        <v>7</v>
      </c>
      <c r="M14" s="1" t="s">
        <v>5</v>
      </c>
      <c r="N14" s="1" t="s">
        <v>53</v>
      </c>
      <c r="O14" s="9">
        <v>0.3</v>
      </c>
      <c r="P14" s="9">
        <v>0.7</v>
      </c>
      <c r="Q14" s="9">
        <v>0.36</v>
      </c>
      <c r="R14" s="9">
        <v>0.64</v>
      </c>
      <c r="S14" s="9">
        <v>0.26</v>
      </c>
      <c r="T14" s="9">
        <v>0.74</v>
      </c>
      <c r="U14" s="9">
        <v>0.32</v>
      </c>
      <c r="V14" s="9">
        <v>0.67999999999999994</v>
      </c>
    </row>
    <row r="15" spans="4:22" x14ac:dyDescent="0.3">
      <c r="D15" s="1" t="s">
        <v>8</v>
      </c>
      <c r="E15" s="1" t="s">
        <v>62</v>
      </c>
      <c r="F15" s="1" t="s">
        <v>26</v>
      </c>
      <c r="G15" s="1" t="s">
        <v>54</v>
      </c>
      <c r="H15" s="1" t="s">
        <v>56</v>
      </c>
      <c r="I15" s="1" t="s">
        <v>57</v>
      </c>
      <c r="M15" s="1" t="s">
        <v>8</v>
      </c>
      <c r="N15" s="1" t="s">
        <v>62</v>
      </c>
      <c r="O15" s="9">
        <v>0.22</v>
      </c>
      <c r="P15" s="9">
        <v>0.78</v>
      </c>
      <c r="Q15" s="9">
        <v>0.28000000000000003</v>
      </c>
      <c r="R15" s="9">
        <v>0.72</v>
      </c>
      <c r="S15" s="9">
        <v>0.16</v>
      </c>
      <c r="T15" s="9">
        <v>0.84</v>
      </c>
      <c r="U15" s="9">
        <v>0.24</v>
      </c>
      <c r="V15" s="9">
        <v>0.76</v>
      </c>
    </row>
    <row r="16" spans="4:22" x14ac:dyDescent="0.3">
      <c r="D16" s="1" t="s">
        <v>8</v>
      </c>
      <c r="E16" s="1" t="s">
        <v>79</v>
      </c>
      <c r="F16" s="1" t="s">
        <v>69</v>
      </c>
      <c r="G16" s="1" t="s">
        <v>80</v>
      </c>
      <c r="H16" s="1" t="s">
        <v>60</v>
      </c>
      <c r="I16" s="1" t="s">
        <v>54</v>
      </c>
      <c r="M16" s="1" t="s">
        <v>8</v>
      </c>
      <c r="N16" s="1" t="s">
        <v>79</v>
      </c>
      <c r="O16" s="9">
        <v>0.25</v>
      </c>
      <c r="P16" s="9">
        <v>0.75</v>
      </c>
      <c r="Q16" s="9">
        <v>0.31</v>
      </c>
      <c r="R16" s="9">
        <v>0.69</v>
      </c>
      <c r="S16" s="9">
        <v>0.2</v>
      </c>
      <c r="T16" s="9">
        <v>0.8</v>
      </c>
      <c r="U16" s="9">
        <v>0.28000000000000003</v>
      </c>
      <c r="V16" s="9">
        <v>0.72</v>
      </c>
    </row>
    <row r="17" spans="4:22" x14ac:dyDescent="0.3">
      <c r="D17" s="1" t="s">
        <v>81</v>
      </c>
      <c r="E17" s="1" t="s">
        <v>58</v>
      </c>
      <c r="F17" s="1" t="s">
        <v>7</v>
      </c>
      <c r="G17" s="1" t="s">
        <v>59</v>
      </c>
      <c r="H17" s="1" t="s">
        <v>66</v>
      </c>
      <c r="I17" s="1" t="s">
        <v>63</v>
      </c>
      <c r="M17" s="1" t="s">
        <v>81</v>
      </c>
      <c r="N17" s="1" t="s">
        <v>58</v>
      </c>
      <c r="O17" s="9">
        <v>0.32</v>
      </c>
      <c r="P17" s="9">
        <v>0.67999999999999994</v>
      </c>
      <c r="Q17" s="9">
        <v>0.38</v>
      </c>
      <c r="R17" s="9">
        <v>0.62</v>
      </c>
      <c r="S17" s="9">
        <v>0.27</v>
      </c>
      <c r="T17" s="9">
        <v>0.73</v>
      </c>
      <c r="U17" s="9">
        <v>0.33</v>
      </c>
      <c r="V17" s="9">
        <v>0.66999999999999993</v>
      </c>
    </row>
    <row r="22" spans="4:22" x14ac:dyDescent="0.3">
      <c r="D22" s="2" t="s">
        <v>0</v>
      </c>
      <c r="E22" s="2" t="s">
        <v>1</v>
      </c>
      <c r="F22" s="2" t="s">
        <v>2</v>
      </c>
    </row>
    <row r="23" spans="4:22" x14ac:dyDescent="0.3">
      <c r="D23" s="1" t="s">
        <v>3</v>
      </c>
      <c r="E23" s="1" t="s">
        <v>27</v>
      </c>
      <c r="F23" s="1" t="s">
        <v>26</v>
      </c>
    </row>
    <row r="24" spans="4:22" x14ac:dyDescent="0.3">
      <c r="D24" s="1" t="s">
        <v>4</v>
      </c>
      <c r="E24" s="1" t="s">
        <v>30</v>
      </c>
      <c r="F24" s="1" t="s">
        <v>28</v>
      </c>
    </row>
    <row r="25" spans="4:22" x14ac:dyDescent="0.3">
      <c r="D25" s="1" t="s">
        <v>5</v>
      </c>
      <c r="E25" s="1" t="s">
        <v>6</v>
      </c>
      <c r="F25" s="1" t="s">
        <v>7</v>
      </c>
      <c r="O25" t="s">
        <v>3</v>
      </c>
    </row>
    <row r="26" spans="4:22" x14ac:dyDescent="0.3">
      <c r="D26" s="1" t="s">
        <v>8</v>
      </c>
      <c r="E26" s="1" t="s">
        <v>9</v>
      </c>
      <c r="F26" s="1" t="s">
        <v>29</v>
      </c>
      <c r="O26" t="s">
        <v>4</v>
      </c>
    </row>
    <row r="27" spans="4:22" x14ac:dyDescent="0.3">
      <c r="D27" s="1" t="s">
        <v>10</v>
      </c>
      <c r="E27" s="1" t="s">
        <v>6</v>
      </c>
      <c r="F27" s="1" t="s">
        <v>11</v>
      </c>
      <c r="O27" t="s">
        <v>5</v>
      </c>
    </row>
    <row r="28" spans="4:22" x14ac:dyDescent="0.3">
      <c r="O28" t="s">
        <v>8</v>
      </c>
    </row>
    <row r="29" spans="4:22" x14ac:dyDescent="0.3">
      <c r="O29" t="s">
        <v>81</v>
      </c>
    </row>
    <row r="32" spans="4:22" x14ac:dyDescent="0.3">
      <c r="D32" t="s">
        <v>0</v>
      </c>
      <c r="E32" t="s">
        <v>36</v>
      </c>
      <c r="F32" t="s">
        <v>37</v>
      </c>
    </row>
    <row r="33" spans="4:6" x14ac:dyDescent="0.3">
      <c r="D33" t="s">
        <v>3</v>
      </c>
      <c r="E33" t="s">
        <v>43</v>
      </c>
      <c r="F33" t="s">
        <v>44</v>
      </c>
    </row>
    <row r="34" spans="4:6" x14ac:dyDescent="0.3">
      <c r="D34" t="s">
        <v>4</v>
      </c>
      <c r="E34" t="s">
        <v>45</v>
      </c>
      <c r="F34" t="s">
        <v>46</v>
      </c>
    </row>
    <row r="35" spans="4:6" x14ac:dyDescent="0.3">
      <c r="D35" t="s">
        <v>5</v>
      </c>
      <c r="E35" t="s">
        <v>38</v>
      </c>
      <c r="F35" t="s">
        <v>39</v>
      </c>
    </row>
    <row r="36" spans="4:6" x14ac:dyDescent="0.3">
      <c r="D36" t="s">
        <v>8</v>
      </c>
      <c r="E36" t="s">
        <v>40</v>
      </c>
      <c r="F36" t="s">
        <v>47</v>
      </c>
    </row>
    <row r="37" spans="4:6" x14ac:dyDescent="0.3">
      <c r="D37" t="s">
        <v>10</v>
      </c>
      <c r="E37" t="s">
        <v>41</v>
      </c>
      <c r="F3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71AD-0C80-44BF-ADE4-59AF4E99FB35}">
  <dimension ref="A1:P67"/>
  <sheetViews>
    <sheetView topLeftCell="A4" zoomScale="83" zoomScaleNormal="70" workbookViewId="0">
      <selection activeCell="A9" sqref="A9"/>
    </sheetView>
  </sheetViews>
  <sheetFormatPr defaultRowHeight="14.4" x14ac:dyDescent="0.3"/>
  <cols>
    <col min="1" max="1" width="26.33203125" bestFit="1" customWidth="1"/>
    <col min="2" max="2" width="10.6640625" customWidth="1"/>
    <col min="3" max="4" width="118.44140625" bestFit="1" customWidth="1"/>
    <col min="11" max="11" width="32.33203125" bestFit="1" customWidth="1"/>
    <col min="12" max="12" width="12" bestFit="1" customWidth="1"/>
    <col min="13" max="13" width="12.5546875" bestFit="1" customWidth="1"/>
    <col min="14" max="14" width="15.33203125" bestFit="1" customWidth="1"/>
    <col min="15" max="15" width="12.5546875" bestFit="1" customWidth="1"/>
    <col min="16" max="16" width="15.33203125" bestFit="1" customWidth="1"/>
  </cols>
  <sheetData>
    <row r="1" spans="1:16" x14ac:dyDescent="0.3">
      <c r="C1" t="s">
        <v>53</v>
      </c>
    </row>
    <row r="2" spans="1:16" x14ac:dyDescent="0.3">
      <c r="C2" t="s">
        <v>58</v>
      </c>
    </row>
    <row r="3" spans="1:16" x14ac:dyDescent="0.3">
      <c r="C3" t="s">
        <v>62</v>
      </c>
    </row>
    <row r="4" spans="1:16" x14ac:dyDescent="0.3">
      <c r="C4" t="s">
        <v>53</v>
      </c>
    </row>
    <row r="5" spans="1:16" x14ac:dyDescent="0.3">
      <c r="C5" t="s">
        <v>71</v>
      </c>
    </row>
    <row r="6" spans="1:16" x14ac:dyDescent="0.3">
      <c r="C6" t="s">
        <v>74</v>
      </c>
    </row>
    <row r="7" spans="1:16" x14ac:dyDescent="0.3">
      <c r="C7" t="s">
        <v>79</v>
      </c>
      <c r="K7" s="4" t="s">
        <v>99</v>
      </c>
      <c r="L7" s="4" t="s">
        <v>48</v>
      </c>
      <c r="M7" s="4" t="s">
        <v>597</v>
      </c>
      <c r="N7" s="4" t="s">
        <v>598</v>
      </c>
      <c r="O7" s="4" t="s">
        <v>599</v>
      </c>
      <c r="P7" s="4" t="s">
        <v>600</v>
      </c>
    </row>
    <row r="8" spans="1:16" x14ac:dyDescent="0.3">
      <c r="K8" s="1" t="s">
        <v>601</v>
      </c>
      <c r="L8" s="1" t="s">
        <v>53</v>
      </c>
      <c r="M8" s="1">
        <v>51.2</v>
      </c>
      <c r="N8" s="1">
        <v>48.8</v>
      </c>
      <c r="O8" s="1">
        <v>44.5</v>
      </c>
      <c r="P8" s="1">
        <v>55.5</v>
      </c>
    </row>
    <row r="9" spans="1:16" x14ac:dyDescent="0.3">
      <c r="A9" s="4" t="s">
        <v>12</v>
      </c>
      <c r="B9" s="4" t="s">
        <v>182</v>
      </c>
      <c r="C9" s="4" t="s">
        <v>183</v>
      </c>
      <c r="K9" s="1" t="s">
        <v>601</v>
      </c>
      <c r="L9" s="1" t="s">
        <v>58</v>
      </c>
      <c r="M9" s="1">
        <v>48.6</v>
      </c>
      <c r="N9" s="1">
        <v>51.4</v>
      </c>
      <c r="O9" s="1">
        <v>35.1</v>
      </c>
      <c r="P9" s="1">
        <v>64.900000000000006</v>
      </c>
    </row>
    <row r="10" spans="1:16" x14ac:dyDescent="0.3">
      <c r="A10" s="1" t="s">
        <v>13</v>
      </c>
      <c r="B10" s="1" t="s">
        <v>17</v>
      </c>
      <c r="C10" s="1" t="s">
        <v>21</v>
      </c>
      <c r="K10" s="1" t="s">
        <v>601</v>
      </c>
      <c r="L10" s="1" t="s">
        <v>62</v>
      </c>
      <c r="M10" s="1">
        <v>54.1</v>
      </c>
      <c r="N10" s="1">
        <v>45.9</v>
      </c>
      <c r="O10" s="1">
        <v>49.2</v>
      </c>
      <c r="P10" s="1">
        <v>50.8</v>
      </c>
    </row>
    <row r="11" spans="1:16" x14ac:dyDescent="0.3">
      <c r="A11" s="1" t="s">
        <v>14</v>
      </c>
      <c r="B11" s="1" t="s">
        <v>16</v>
      </c>
      <c r="C11" s="1" t="s">
        <v>22</v>
      </c>
      <c r="K11" s="1" t="s">
        <v>601</v>
      </c>
      <c r="L11" s="1" t="s">
        <v>71</v>
      </c>
      <c r="M11" s="1">
        <v>52.8</v>
      </c>
      <c r="N11" s="1">
        <v>47.2</v>
      </c>
      <c r="O11" s="1">
        <v>43.7</v>
      </c>
      <c r="P11" s="1">
        <v>56.3</v>
      </c>
    </row>
    <row r="12" spans="1:16" x14ac:dyDescent="0.3">
      <c r="A12" s="1" t="s">
        <v>15</v>
      </c>
      <c r="B12" s="1" t="s">
        <v>18</v>
      </c>
      <c r="C12" s="1" t="s">
        <v>23</v>
      </c>
      <c r="K12" s="1" t="s">
        <v>601</v>
      </c>
      <c r="L12" s="1" t="s">
        <v>74</v>
      </c>
      <c r="M12" s="1">
        <v>49.5</v>
      </c>
      <c r="N12" s="1">
        <v>50.5</v>
      </c>
      <c r="O12" s="1">
        <v>32.799999999999997</v>
      </c>
      <c r="P12" s="1">
        <v>67.2</v>
      </c>
    </row>
    <row r="13" spans="1:16" x14ac:dyDescent="0.3">
      <c r="A13" s="1" t="s">
        <v>8</v>
      </c>
      <c r="B13" s="1" t="s">
        <v>19</v>
      </c>
      <c r="C13" s="1" t="s">
        <v>24</v>
      </c>
      <c r="K13" s="1" t="s">
        <v>601</v>
      </c>
      <c r="L13" s="1" t="s">
        <v>79</v>
      </c>
      <c r="M13" s="1">
        <v>55.6</v>
      </c>
      <c r="N13" s="1">
        <v>44.4</v>
      </c>
      <c r="O13" s="1">
        <v>48.1</v>
      </c>
      <c r="P13" s="1">
        <v>51.9</v>
      </c>
    </row>
    <row r="14" spans="1:16" x14ac:dyDescent="0.3">
      <c r="A14" s="1" t="s">
        <v>10</v>
      </c>
      <c r="B14" s="1" t="s">
        <v>20</v>
      </c>
      <c r="C14" s="1" t="s">
        <v>25</v>
      </c>
      <c r="K14" s="1" t="s">
        <v>602</v>
      </c>
      <c r="L14" s="1" t="s">
        <v>53</v>
      </c>
      <c r="M14" s="1">
        <v>56.3</v>
      </c>
      <c r="N14" s="1">
        <v>43.7</v>
      </c>
      <c r="O14" s="1">
        <v>49.1</v>
      </c>
      <c r="P14" s="1">
        <v>50.9</v>
      </c>
    </row>
    <row r="15" spans="1:16" x14ac:dyDescent="0.3">
      <c r="K15" s="1" t="s">
        <v>602</v>
      </c>
      <c r="L15" s="1" t="s">
        <v>58</v>
      </c>
      <c r="M15" s="1">
        <v>53.2</v>
      </c>
      <c r="N15" s="1">
        <v>46.8</v>
      </c>
      <c r="O15" s="1">
        <v>40.4</v>
      </c>
      <c r="P15" s="1">
        <v>59.6</v>
      </c>
    </row>
    <row r="16" spans="1:16" x14ac:dyDescent="0.3">
      <c r="K16" s="1" t="s">
        <v>602</v>
      </c>
      <c r="L16" s="1" t="s">
        <v>62</v>
      </c>
      <c r="M16" s="1">
        <v>58.7</v>
      </c>
      <c r="N16" s="1">
        <v>41.3</v>
      </c>
      <c r="O16" s="1">
        <v>52.3</v>
      </c>
      <c r="P16" s="1">
        <v>47.7</v>
      </c>
    </row>
    <row r="17" spans="1:16" x14ac:dyDescent="0.3">
      <c r="K17" s="1" t="s">
        <v>602</v>
      </c>
      <c r="L17" s="1" t="s">
        <v>71</v>
      </c>
      <c r="M17" s="1">
        <v>55.4</v>
      </c>
      <c r="N17" s="1">
        <v>44.6</v>
      </c>
      <c r="O17" s="1">
        <v>46.8</v>
      </c>
      <c r="P17" s="1">
        <v>53.2</v>
      </c>
    </row>
    <row r="18" spans="1:16" x14ac:dyDescent="0.3">
      <c r="K18" s="1" t="s">
        <v>602</v>
      </c>
      <c r="L18" s="1" t="s">
        <v>74</v>
      </c>
      <c r="M18" s="1">
        <v>52.1</v>
      </c>
      <c r="N18" s="1">
        <v>47.9</v>
      </c>
      <c r="O18" s="1">
        <v>38.200000000000003</v>
      </c>
      <c r="P18" s="1">
        <v>61.8</v>
      </c>
    </row>
    <row r="19" spans="1:16" x14ac:dyDescent="0.3">
      <c r="K19" s="1" t="s">
        <v>602</v>
      </c>
      <c r="L19" s="1" t="s">
        <v>79</v>
      </c>
      <c r="M19" s="1">
        <v>59.2</v>
      </c>
      <c r="N19" s="1">
        <v>40.799999999999997</v>
      </c>
      <c r="O19" s="1">
        <v>51.6</v>
      </c>
      <c r="P19" s="1">
        <v>48.4</v>
      </c>
    </row>
    <row r="20" spans="1:16" x14ac:dyDescent="0.3">
      <c r="A20" s="4" t="s">
        <v>12</v>
      </c>
      <c r="B20" s="4" t="s">
        <v>88</v>
      </c>
      <c r="C20" s="4" t="s">
        <v>182</v>
      </c>
      <c r="D20" s="4" t="s">
        <v>183</v>
      </c>
      <c r="K20" s="1" t="s">
        <v>603</v>
      </c>
      <c r="L20" s="1" t="s">
        <v>53</v>
      </c>
      <c r="M20" s="1">
        <v>47.8</v>
      </c>
      <c r="N20" s="1">
        <v>52.2</v>
      </c>
      <c r="O20" s="1">
        <v>40.299999999999997</v>
      </c>
      <c r="P20" s="1">
        <v>59.7</v>
      </c>
    </row>
    <row r="21" spans="1:16" x14ac:dyDescent="0.3">
      <c r="A21" s="1" t="s">
        <v>13</v>
      </c>
      <c r="B21" s="1" t="s">
        <v>106</v>
      </c>
      <c r="C21" s="1" t="s">
        <v>582</v>
      </c>
      <c r="D21" s="1" t="s">
        <v>583</v>
      </c>
      <c r="K21" s="1" t="s">
        <v>603</v>
      </c>
      <c r="L21" s="1" t="s">
        <v>58</v>
      </c>
      <c r="M21" s="1">
        <v>45.1</v>
      </c>
      <c r="N21" s="1">
        <v>54.9</v>
      </c>
      <c r="O21" s="1">
        <v>33.700000000000003</v>
      </c>
      <c r="P21" s="1">
        <v>66.3</v>
      </c>
    </row>
    <row r="22" spans="1:16" x14ac:dyDescent="0.3">
      <c r="A22" s="1" t="s">
        <v>14</v>
      </c>
      <c r="B22" s="1" t="s">
        <v>106</v>
      </c>
      <c r="C22" s="1" t="s">
        <v>584</v>
      </c>
      <c r="D22" s="1" t="s">
        <v>585</v>
      </c>
      <c r="K22" s="1" t="s">
        <v>603</v>
      </c>
      <c r="L22" s="1" t="s">
        <v>62</v>
      </c>
      <c r="M22" s="1">
        <v>50.4</v>
      </c>
      <c r="N22" s="1">
        <v>49.6</v>
      </c>
      <c r="O22" s="1">
        <v>45.9</v>
      </c>
      <c r="P22" s="1">
        <v>54.1</v>
      </c>
    </row>
    <row r="23" spans="1:16" x14ac:dyDescent="0.3">
      <c r="A23" s="1" t="s">
        <v>15</v>
      </c>
      <c r="B23" s="1" t="s">
        <v>106</v>
      </c>
      <c r="C23" s="1" t="s">
        <v>586</v>
      </c>
      <c r="D23" s="1" t="s">
        <v>587</v>
      </c>
      <c r="K23" s="1" t="s">
        <v>603</v>
      </c>
      <c r="L23" s="1" t="s">
        <v>71</v>
      </c>
      <c r="M23" s="1">
        <v>48.2</v>
      </c>
      <c r="N23" s="1">
        <v>51.8</v>
      </c>
      <c r="O23" s="1">
        <v>41.5</v>
      </c>
      <c r="P23" s="1">
        <v>58.5</v>
      </c>
    </row>
    <row r="24" spans="1:16" x14ac:dyDescent="0.3">
      <c r="A24" s="1" t="s">
        <v>8</v>
      </c>
      <c r="B24" s="1" t="s">
        <v>106</v>
      </c>
      <c r="C24" s="1" t="s">
        <v>588</v>
      </c>
      <c r="D24" s="1" t="s">
        <v>589</v>
      </c>
      <c r="K24" s="1" t="s">
        <v>603</v>
      </c>
      <c r="L24" s="1" t="s">
        <v>74</v>
      </c>
      <c r="M24" s="1">
        <v>44.9</v>
      </c>
      <c r="N24" s="1">
        <v>55.1</v>
      </c>
      <c r="O24" s="1">
        <v>28.6</v>
      </c>
      <c r="P24" s="1">
        <v>71.400000000000006</v>
      </c>
    </row>
    <row r="25" spans="1:16" x14ac:dyDescent="0.3">
      <c r="A25" s="1" t="s">
        <v>10</v>
      </c>
      <c r="B25" s="1" t="s">
        <v>106</v>
      </c>
      <c r="C25" s="1" t="s">
        <v>590</v>
      </c>
      <c r="D25" s="1" t="s">
        <v>591</v>
      </c>
      <c r="K25" s="1" t="s">
        <v>603</v>
      </c>
      <c r="L25" s="1" t="s">
        <v>79</v>
      </c>
      <c r="M25" s="1">
        <v>51.3</v>
      </c>
      <c r="N25" s="1">
        <v>48.7</v>
      </c>
      <c r="O25" s="1">
        <v>46.2</v>
      </c>
      <c r="P25" s="1">
        <v>53.8</v>
      </c>
    </row>
    <row r="26" spans="1:16" x14ac:dyDescent="0.3">
      <c r="A26" s="1" t="s">
        <v>592</v>
      </c>
      <c r="B26" s="1" t="s">
        <v>110</v>
      </c>
      <c r="C26" s="1" t="s">
        <v>583</v>
      </c>
      <c r="D26" s="1" t="s">
        <v>582</v>
      </c>
      <c r="K26" s="1" t="s">
        <v>604</v>
      </c>
      <c r="L26" s="1" t="s">
        <v>53</v>
      </c>
      <c r="M26" s="1">
        <v>43.1</v>
      </c>
      <c r="N26" s="1">
        <v>56.9</v>
      </c>
      <c r="O26" s="1">
        <v>36.700000000000003</v>
      </c>
      <c r="P26" s="1">
        <v>63.3</v>
      </c>
    </row>
    <row r="27" spans="1:16" x14ac:dyDescent="0.3">
      <c r="A27" s="1" t="s">
        <v>593</v>
      </c>
      <c r="B27" s="1" t="s">
        <v>110</v>
      </c>
      <c r="C27" s="1" t="s">
        <v>585</v>
      </c>
      <c r="D27" s="1" t="s">
        <v>584</v>
      </c>
      <c r="K27" s="1" t="s">
        <v>604</v>
      </c>
      <c r="L27" s="1" t="s">
        <v>58</v>
      </c>
      <c r="M27" s="1">
        <v>40.5</v>
      </c>
      <c r="N27" s="1">
        <v>59.5</v>
      </c>
      <c r="O27" s="1">
        <v>29.8</v>
      </c>
      <c r="P27" s="1">
        <v>70.2</v>
      </c>
    </row>
    <row r="28" spans="1:16" x14ac:dyDescent="0.3">
      <c r="A28" s="1" t="s">
        <v>594</v>
      </c>
      <c r="B28" s="1" t="s">
        <v>110</v>
      </c>
      <c r="C28" s="1" t="s">
        <v>595</v>
      </c>
      <c r="D28" s="1" t="s">
        <v>586</v>
      </c>
      <c r="K28" s="1" t="s">
        <v>604</v>
      </c>
      <c r="L28" s="1" t="s">
        <v>62</v>
      </c>
      <c r="M28" s="1">
        <v>46.2</v>
      </c>
      <c r="N28" s="1">
        <v>53.8</v>
      </c>
      <c r="O28" s="1">
        <v>41.4</v>
      </c>
      <c r="P28" s="1">
        <v>58.6</v>
      </c>
    </row>
    <row r="29" spans="1:16" x14ac:dyDescent="0.3">
      <c r="A29" s="1" t="s">
        <v>8</v>
      </c>
      <c r="B29" s="1" t="s">
        <v>110</v>
      </c>
      <c r="C29" s="1" t="s">
        <v>589</v>
      </c>
      <c r="D29" s="1" t="s">
        <v>589</v>
      </c>
      <c r="K29" s="1" t="s">
        <v>604</v>
      </c>
      <c r="L29" s="1" t="s">
        <v>71</v>
      </c>
      <c r="M29" s="1">
        <v>44.3</v>
      </c>
      <c r="N29" s="1">
        <v>55.7</v>
      </c>
      <c r="O29" s="1">
        <v>37.9</v>
      </c>
      <c r="P29" s="1">
        <v>62.1</v>
      </c>
    </row>
    <row r="30" spans="1:16" x14ac:dyDescent="0.3">
      <c r="A30" s="1" t="s">
        <v>596</v>
      </c>
      <c r="B30" s="1" t="s">
        <v>110</v>
      </c>
      <c r="C30" s="1" t="s">
        <v>591</v>
      </c>
      <c r="D30" s="1" t="s">
        <v>590</v>
      </c>
      <c r="K30" s="1" t="s">
        <v>604</v>
      </c>
      <c r="L30" s="1" t="s">
        <v>74</v>
      </c>
      <c r="M30" s="1">
        <v>41.2</v>
      </c>
      <c r="N30" s="1">
        <v>58.8</v>
      </c>
      <c r="O30" s="1">
        <v>26.1</v>
      </c>
      <c r="P30" s="1">
        <v>73.900000000000006</v>
      </c>
    </row>
    <row r="31" spans="1:16" x14ac:dyDescent="0.3">
      <c r="K31" s="1" t="s">
        <v>604</v>
      </c>
      <c r="L31" s="1" t="s">
        <v>79</v>
      </c>
      <c r="M31" s="1">
        <v>47.1</v>
      </c>
      <c r="N31" s="1">
        <v>52.9</v>
      </c>
      <c r="O31" s="1">
        <v>42.5</v>
      </c>
      <c r="P31" s="1">
        <v>57.5</v>
      </c>
    </row>
    <row r="32" spans="1:16" x14ac:dyDescent="0.3">
      <c r="K32" s="1" t="s">
        <v>605</v>
      </c>
      <c r="L32" s="1" t="s">
        <v>53</v>
      </c>
      <c r="M32" s="1">
        <v>52</v>
      </c>
      <c r="N32" s="1">
        <v>48</v>
      </c>
      <c r="O32" s="1">
        <v>47.6</v>
      </c>
      <c r="P32" s="1">
        <v>52.4</v>
      </c>
    </row>
    <row r="33" spans="11:16" x14ac:dyDescent="0.3">
      <c r="K33" s="1" t="s">
        <v>605</v>
      </c>
      <c r="L33" s="1" t="s">
        <v>58</v>
      </c>
      <c r="M33" s="1">
        <v>49.4</v>
      </c>
      <c r="N33" s="1">
        <v>50.6</v>
      </c>
      <c r="O33" s="1">
        <v>38.200000000000003</v>
      </c>
      <c r="P33" s="1">
        <v>61.8</v>
      </c>
    </row>
    <row r="34" spans="11:16" x14ac:dyDescent="0.3">
      <c r="K34" s="1" t="s">
        <v>605</v>
      </c>
      <c r="L34" s="1" t="s">
        <v>62</v>
      </c>
      <c r="M34" s="1">
        <v>54.8</v>
      </c>
      <c r="N34" s="1">
        <v>45.2</v>
      </c>
      <c r="O34" s="1">
        <v>50.7</v>
      </c>
      <c r="P34" s="1">
        <v>49.3</v>
      </c>
    </row>
    <row r="35" spans="11:16" x14ac:dyDescent="0.3">
      <c r="K35" s="1" t="s">
        <v>605</v>
      </c>
      <c r="L35" s="1" t="s">
        <v>71</v>
      </c>
      <c r="M35" s="1">
        <v>51.7</v>
      </c>
      <c r="N35" s="1">
        <v>48.3</v>
      </c>
      <c r="O35" s="1">
        <v>45.3</v>
      </c>
      <c r="P35" s="1">
        <v>54.7</v>
      </c>
    </row>
    <row r="36" spans="11:16" x14ac:dyDescent="0.3">
      <c r="K36" s="1" t="s">
        <v>605</v>
      </c>
      <c r="L36" s="1" t="s">
        <v>74</v>
      </c>
      <c r="M36" s="1">
        <v>48.6</v>
      </c>
      <c r="N36" s="1">
        <v>51.4</v>
      </c>
      <c r="O36" s="1">
        <v>34.9</v>
      </c>
      <c r="P36" s="1">
        <v>65.099999999999994</v>
      </c>
    </row>
    <row r="37" spans="11:16" x14ac:dyDescent="0.3">
      <c r="K37" s="1" t="s">
        <v>605</v>
      </c>
      <c r="L37" s="1" t="s">
        <v>79</v>
      </c>
      <c r="M37" s="1">
        <v>55.4</v>
      </c>
      <c r="N37" s="1">
        <v>44.6</v>
      </c>
      <c r="O37" s="1">
        <v>50.1</v>
      </c>
      <c r="P37" s="1">
        <v>49.9</v>
      </c>
    </row>
    <row r="38" spans="11:16" x14ac:dyDescent="0.3">
      <c r="K38" s="1" t="s">
        <v>606</v>
      </c>
      <c r="L38" s="1" t="s">
        <v>53</v>
      </c>
      <c r="M38" s="1">
        <v>44.8</v>
      </c>
      <c r="N38" s="1">
        <v>55.2</v>
      </c>
      <c r="O38" s="1">
        <v>38.9</v>
      </c>
      <c r="P38" s="1">
        <v>61.1</v>
      </c>
    </row>
    <row r="39" spans="11:16" x14ac:dyDescent="0.3">
      <c r="K39" s="1" t="s">
        <v>606</v>
      </c>
      <c r="L39" s="1" t="s">
        <v>58</v>
      </c>
      <c r="M39" s="1">
        <v>42.3</v>
      </c>
      <c r="N39" s="1">
        <v>57.7</v>
      </c>
      <c r="O39" s="1">
        <v>31.4</v>
      </c>
      <c r="P39" s="1">
        <v>68.599999999999994</v>
      </c>
    </row>
    <row r="40" spans="11:16" x14ac:dyDescent="0.3">
      <c r="K40" s="1" t="s">
        <v>606</v>
      </c>
      <c r="L40" s="1" t="s">
        <v>62</v>
      </c>
      <c r="M40" s="1">
        <v>48.7</v>
      </c>
      <c r="N40" s="1">
        <v>51.3</v>
      </c>
      <c r="O40" s="1">
        <v>43.6</v>
      </c>
      <c r="P40" s="1">
        <v>56.4</v>
      </c>
    </row>
    <row r="41" spans="11:16" x14ac:dyDescent="0.3">
      <c r="K41" s="1" t="s">
        <v>606</v>
      </c>
      <c r="L41" s="1" t="s">
        <v>71</v>
      </c>
      <c r="M41" s="1">
        <v>46.2</v>
      </c>
      <c r="N41" s="1">
        <v>53.8</v>
      </c>
      <c r="O41" s="1">
        <v>38.1</v>
      </c>
      <c r="P41" s="1">
        <v>61.9</v>
      </c>
    </row>
    <row r="42" spans="11:16" x14ac:dyDescent="0.3">
      <c r="K42" s="1" t="s">
        <v>606</v>
      </c>
      <c r="L42" s="1" t="s">
        <v>74</v>
      </c>
      <c r="M42" s="1">
        <v>41.9</v>
      </c>
      <c r="N42" s="1">
        <v>58.1</v>
      </c>
      <c r="O42" s="1">
        <v>25.2</v>
      </c>
      <c r="P42" s="1">
        <v>74.8</v>
      </c>
    </row>
    <row r="43" spans="11:16" x14ac:dyDescent="0.3">
      <c r="K43" s="1" t="s">
        <v>606</v>
      </c>
      <c r="L43" s="1" t="s">
        <v>79</v>
      </c>
      <c r="M43" s="1">
        <v>50.2</v>
      </c>
      <c r="N43" s="1">
        <v>49.8</v>
      </c>
      <c r="O43" s="1">
        <v>42.7</v>
      </c>
      <c r="P43" s="1">
        <v>57.3</v>
      </c>
    </row>
    <row r="44" spans="11:16" x14ac:dyDescent="0.3">
      <c r="K44" s="1" t="s">
        <v>607</v>
      </c>
      <c r="L44" s="1" t="s">
        <v>53</v>
      </c>
      <c r="M44" s="1">
        <v>46.5</v>
      </c>
      <c r="N44" s="1">
        <v>53.5</v>
      </c>
      <c r="O44" s="1">
        <v>39.799999999999997</v>
      </c>
      <c r="P44" s="1">
        <v>60.2</v>
      </c>
    </row>
    <row r="45" spans="11:16" x14ac:dyDescent="0.3">
      <c r="K45" s="1" t="s">
        <v>607</v>
      </c>
      <c r="L45" s="1" t="s">
        <v>58</v>
      </c>
      <c r="M45" s="1">
        <v>43.9</v>
      </c>
      <c r="N45" s="1">
        <v>56.1</v>
      </c>
      <c r="O45" s="1">
        <v>32.6</v>
      </c>
      <c r="P45" s="1">
        <v>67.400000000000006</v>
      </c>
    </row>
    <row r="46" spans="11:16" x14ac:dyDescent="0.3">
      <c r="K46" s="1" t="s">
        <v>607</v>
      </c>
      <c r="L46" s="1" t="s">
        <v>62</v>
      </c>
      <c r="M46" s="1">
        <v>50.1</v>
      </c>
      <c r="N46" s="1">
        <v>49.9</v>
      </c>
      <c r="O46" s="1">
        <v>44.8</v>
      </c>
      <c r="P46" s="1">
        <v>55.2</v>
      </c>
    </row>
    <row r="47" spans="11:16" x14ac:dyDescent="0.3">
      <c r="K47" s="1" t="s">
        <v>607</v>
      </c>
      <c r="L47" s="1" t="s">
        <v>71</v>
      </c>
      <c r="M47" s="1">
        <v>47.6</v>
      </c>
      <c r="N47" s="1">
        <v>52.4</v>
      </c>
      <c r="O47" s="1">
        <v>39.4</v>
      </c>
      <c r="P47" s="1">
        <v>60.6</v>
      </c>
    </row>
    <row r="48" spans="11:16" x14ac:dyDescent="0.3">
      <c r="K48" s="1" t="s">
        <v>607</v>
      </c>
      <c r="L48" s="1" t="s">
        <v>74</v>
      </c>
      <c r="M48" s="1">
        <v>43.3</v>
      </c>
      <c r="N48" s="1">
        <v>56.7</v>
      </c>
      <c r="O48" s="1">
        <v>26.7</v>
      </c>
      <c r="P48" s="1">
        <v>73.3</v>
      </c>
    </row>
    <row r="49" spans="11:16" x14ac:dyDescent="0.3">
      <c r="K49" s="1" t="s">
        <v>607</v>
      </c>
      <c r="L49" s="1" t="s">
        <v>79</v>
      </c>
      <c r="M49" s="1">
        <v>51.8</v>
      </c>
      <c r="N49" s="1">
        <v>48.2</v>
      </c>
      <c r="O49" s="1">
        <v>44.3</v>
      </c>
      <c r="P49" s="1">
        <v>55.7</v>
      </c>
    </row>
    <row r="50" spans="11:16" x14ac:dyDescent="0.3">
      <c r="K50" s="1" t="s">
        <v>608</v>
      </c>
      <c r="L50" s="1" t="s">
        <v>53</v>
      </c>
      <c r="M50" s="1">
        <v>42.7</v>
      </c>
      <c r="N50" s="1">
        <v>57.3</v>
      </c>
      <c r="O50" s="1">
        <v>36.4</v>
      </c>
      <c r="P50" s="1">
        <v>63.6</v>
      </c>
    </row>
    <row r="51" spans="11:16" x14ac:dyDescent="0.3">
      <c r="K51" s="1" t="s">
        <v>608</v>
      </c>
      <c r="L51" s="1" t="s">
        <v>58</v>
      </c>
      <c r="M51" s="1">
        <v>40.200000000000003</v>
      </c>
      <c r="N51" s="1">
        <v>59.8</v>
      </c>
      <c r="O51" s="1">
        <v>28.9</v>
      </c>
      <c r="P51" s="1">
        <v>71.099999999999994</v>
      </c>
    </row>
    <row r="52" spans="11:16" x14ac:dyDescent="0.3">
      <c r="K52" s="1" t="s">
        <v>608</v>
      </c>
      <c r="L52" s="1" t="s">
        <v>62</v>
      </c>
      <c r="M52" s="1">
        <v>45.9</v>
      </c>
      <c r="N52" s="1">
        <v>54.1</v>
      </c>
      <c r="O52" s="1">
        <v>41.2</v>
      </c>
      <c r="P52" s="1">
        <v>58.8</v>
      </c>
    </row>
    <row r="53" spans="11:16" x14ac:dyDescent="0.3">
      <c r="K53" s="1" t="s">
        <v>608</v>
      </c>
      <c r="L53" s="1" t="s">
        <v>71</v>
      </c>
      <c r="M53" s="1">
        <v>43.8</v>
      </c>
      <c r="N53" s="1">
        <v>56.2</v>
      </c>
      <c r="O53" s="1">
        <v>36.700000000000003</v>
      </c>
      <c r="P53" s="1">
        <v>63.3</v>
      </c>
    </row>
    <row r="54" spans="11:16" x14ac:dyDescent="0.3">
      <c r="K54" s="1" t="s">
        <v>608</v>
      </c>
      <c r="L54" s="1" t="s">
        <v>74</v>
      </c>
      <c r="M54" s="1">
        <v>39.6</v>
      </c>
      <c r="N54" s="1">
        <v>60.4</v>
      </c>
      <c r="O54" s="1">
        <v>23.4</v>
      </c>
      <c r="P54" s="1">
        <v>76.599999999999994</v>
      </c>
    </row>
    <row r="55" spans="11:16" x14ac:dyDescent="0.3">
      <c r="K55" s="1" t="s">
        <v>608</v>
      </c>
      <c r="L55" s="1" t="s">
        <v>79</v>
      </c>
      <c r="M55" s="1">
        <v>47.5</v>
      </c>
      <c r="N55" s="1">
        <v>52.5</v>
      </c>
      <c r="O55" s="1">
        <v>40.799999999999997</v>
      </c>
      <c r="P55" s="1">
        <v>59.2</v>
      </c>
    </row>
    <row r="56" spans="11:16" x14ac:dyDescent="0.3">
      <c r="K56" s="1" t="s">
        <v>609</v>
      </c>
      <c r="L56" s="1" t="s">
        <v>53</v>
      </c>
      <c r="M56" s="1">
        <v>40.6</v>
      </c>
      <c r="N56" s="1">
        <v>59.4</v>
      </c>
      <c r="O56" s="1">
        <v>34.200000000000003</v>
      </c>
      <c r="P56" s="1">
        <v>65.8</v>
      </c>
    </row>
    <row r="57" spans="11:16" x14ac:dyDescent="0.3">
      <c r="K57" s="1" t="s">
        <v>609</v>
      </c>
      <c r="L57" s="1" t="s">
        <v>58</v>
      </c>
      <c r="M57" s="1">
        <v>38.1</v>
      </c>
      <c r="N57" s="1">
        <v>61.9</v>
      </c>
      <c r="O57" s="1">
        <v>27.3</v>
      </c>
      <c r="P57" s="1">
        <v>72.7</v>
      </c>
    </row>
    <row r="58" spans="11:16" x14ac:dyDescent="0.3">
      <c r="K58" s="1" t="s">
        <v>609</v>
      </c>
      <c r="L58" s="1" t="s">
        <v>62</v>
      </c>
      <c r="M58" s="1">
        <v>43.8</v>
      </c>
      <c r="N58" s="1">
        <v>56.2</v>
      </c>
      <c r="O58" s="1">
        <v>39.1</v>
      </c>
      <c r="P58" s="1">
        <v>60.9</v>
      </c>
    </row>
    <row r="59" spans="11:16" x14ac:dyDescent="0.3">
      <c r="K59" s="1" t="s">
        <v>609</v>
      </c>
      <c r="L59" s="1" t="s">
        <v>71</v>
      </c>
      <c r="M59" s="1">
        <v>41.7</v>
      </c>
      <c r="N59" s="1">
        <v>58.3</v>
      </c>
      <c r="O59" s="1">
        <v>35.4</v>
      </c>
      <c r="P59" s="1">
        <v>64.599999999999994</v>
      </c>
    </row>
    <row r="60" spans="11:16" x14ac:dyDescent="0.3">
      <c r="K60" s="1" t="s">
        <v>609</v>
      </c>
      <c r="L60" s="1" t="s">
        <v>74</v>
      </c>
      <c r="M60" s="1">
        <v>37.799999999999997</v>
      </c>
      <c r="N60" s="1">
        <v>62.2</v>
      </c>
      <c r="O60" s="1">
        <v>22.6</v>
      </c>
      <c r="P60" s="1">
        <v>77.400000000000006</v>
      </c>
    </row>
    <row r="61" spans="11:16" x14ac:dyDescent="0.3">
      <c r="K61" s="1" t="s">
        <v>609</v>
      </c>
      <c r="L61" s="1" t="s">
        <v>79</v>
      </c>
      <c r="M61" s="1">
        <v>45.2</v>
      </c>
      <c r="N61" s="1">
        <v>54.8</v>
      </c>
      <c r="O61" s="1">
        <v>40.200000000000003</v>
      </c>
      <c r="P61" s="1">
        <v>59.8</v>
      </c>
    </row>
    <row r="62" spans="11:16" x14ac:dyDescent="0.3">
      <c r="K62" s="1" t="s">
        <v>610</v>
      </c>
      <c r="L62" s="1" t="s">
        <v>53</v>
      </c>
      <c r="M62" s="1">
        <v>45.3</v>
      </c>
      <c r="N62" s="1">
        <v>54.7</v>
      </c>
      <c r="O62" s="1">
        <v>39.200000000000003</v>
      </c>
      <c r="P62" s="1">
        <v>60.8</v>
      </c>
    </row>
    <row r="63" spans="11:16" x14ac:dyDescent="0.3">
      <c r="K63" s="1" t="s">
        <v>610</v>
      </c>
      <c r="L63" s="1" t="s">
        <v>58</v>
      </c>
      <c r="M63" s="1">
        <v>42.8</v>
      </c>
      <c r="N63" s="1">
        <v>57.2</v>
      </c>
      <c r="O63" s="1">
        <v>32.1</v>
      </c>
      <c r="P63" s="1">
        <v>67.900000000000006</v>
      </c>
    </row>
    <row r="64" spans="11:16" x14ac:dyDescent="0.3">
      <c r="K64" s="1" t="s">
        <v>610</v>
      </c>
      <c r="L64" s="1" t="s">
        <v>62</v>
      </c>
      <c r="M64" s="1">
        <v>49.1</v>
      </c>
      <c r="N64" s="1">
        <v>50.9</v>
      </c>
      <c r="O64" s="1">
        <v>44.3</v>
      </c>
      <c r="P64" s="1">
        <v>55.7</v>
      </c>
    </row>
    <row r="65" spans="11:16" x14ac:dyDescent="0.3">
      <c r="K65" s="1" t="s">
        <v>610</v>
      </c>
      <c r="L65" s="1" t="s">
        <v>71</v>
      </c>
      <c r="M65" s="1">
        <v>46.9</v>
      </c>
      <c r="N65" s="1">
        <v>53.1</v>
      </c>
      <c r="O65" s="1">
        <v>38.799999999999997</v>
      </c>
      <c r="P65" s="1">
        <v>61.2</v>
      </c>
    </row>
    <row r="66" spans="11:16" x14ac:dyDescent="0.3">
      <c r="K66" s="1" t="s">
        <v>610</v>
      </c>
      <c r="L66" s="1" t="s">
        <v>74</v>
      </c>
      <c r="M66" s="1">
        <v>44.2</v>
      </c>
      <c r="N66" s="1">
        <v>55.8</v>
      </c>
      <c r="O66" s="1">
        <v>27.5</v>
      </c>
      <c r="P66" s="1">
        <v>72.5</v>
      </c>
    </row>
    <row r="67" spans="11:16" x14ac:dyDescent="0.3">
      <c r="K67" s="1" t="s">
        <v>610</v>
      </c>
      <c r="L67" s="1" t="s">
        <v>79</v>
      </c>
      <c r="M67" s="1">
        <v>50.7</v>
      </c>
      <c r="N67" s="1">
        <v>49.3</v>
      </c>
      <c r="O67" s="1">
        <v>43.9</v>
      </c>
      <c r="P67" s="1">
        <v>56.1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67-D2CD-4C46-A963-41F0FB89F81D}">
  <dimension ref="A1:Z100"/>
  <sheetViews>
    <sheetView workbookViewId="0">
      <selection activeCell="C1" sqref="C1"/>
    </sheetView>
  </sheetViews>
  <sheetFormatPr defaultRowHeight="14.4" x14ac:dyDescent="0.3"/>
  <cols>
    <col min="8" max="8" width="12" bestFit="1" customWidth="1"/>
    <col min="9" max="9" width="7.44140625" bestFit="1" customWidth="1"/>
    <col min="10" max="10" width="10.88671875" bestFit="1" customWidth="1"/>
    <col min="11" max="11" width="14.109375" bestFit="1" customWidth="1"/>
    <col min="12" max="12" width="15.6640625" bestFit="1" customWidth="1"/>
    <col min="13" max="13" width="19" bestFit="1" customWidth="1"/>
    <col min="14" max="14" width="14.5546875" bestFit="1" customWidth="1"/>
    <col min="15" max="15" width="6.88671875" bestFit="1" customWidth="1"/>
    <col min="16" max="17" width="10.44140625" bestFit="1" customWidth="1"/>
    <col min="18" max="18" width="13.33203125" bestFit="1" customWidth="1"/>
    <col min="19" max="19" width="10.44140625" bestFit="1" customWidth="1"/>
    <col min="20" max="20" width="11" bestFit="1" customWidth="1"/>
    <col min="21" max="21" width="15" bestFit="1" customWidth="1"/>
    <col min="22" max="22" width="13.6640625" bestFit="1" customWidth="1"/>
    <col min="23" max="23" width="12.6640625" bestFit="1" customWidth="1"/>
    <col min="24" max="24" width="19.109375" bestFit="1" customWidth="1"/>
    <col min="25" max="25" width="13.5546875" bestFit="1" customWidth="1"/>
    <col min="26" max="26" width="12.6640625" bestFit="1" customWidth="1"/>
  </cols>
  <sheetData>
    <row r="1" spans="1:26" x14ac:dyDescent="0.3">
      <c r="A1">
        <v>1</v>
      </c>
      <c r="B1" cm="1">
        <f t="array" ref="B1">INDEX($A$1:$A$10,INT((ROW()-1)/10)+1)</f>
        <v>1</v>
      </c>
      <c r="C1" cm="1">
        <f t="array" ref="C1">INDEX($A$1:$A$10,MOD(ROW()-1,10)+1)</f>
        <v>1</v>
      </c>
      <c r="H1" t="s">
        <v>82</v>
      </c>
      <c r="I1" t="s">
        <v>48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</row>
    <row r="2" spans="1:26" x14ac:dyDescent="0.3">
      <c r="A2">
        <v>2</v>
      </c>
      <c r="B2" cm="1">
        <f t="array" ref="B2">INDEX($A$1:$A$10,INT((ROW()-1)/10)+1)</f>
        <v>1</v>
      </c>
      <c r="C2" cm="1">
        <f t="array" ref="C2">INDEX($A$1:$A$10,MOD(ROW()-1,10)+1)</f>
        <v>2</v>
      </c>
      <c r="H2" t="s">
        <v>100</v>
      </c>
      <c r="I2" t="s">
        <v>53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s="5">
        <v>45296</v>
      </c>
      <c r="Q2" s="5">
        <v>45319</v>
      </c>
      <c r="R2" s="5">
        <v>45319</v>
      </c>
      <c r="S2">
        <v>0</v>
      </c>
      <c r="T2">
        <v>0</v>
      </c>
      <c r="U2" t="s">
        <v>107</v>
      </c>
      <c r="V2">
        <v>3500</v>
      </c>
      <c r="W2">
        <v>650</v>
      </c>
      <c r="X2">
        <v>0</v>
      </c>
      <c r="Y2">
        <v>4150</v>
      </c>
      <c r="Z2" t="s">
        <v>3</v>
      </c>
    </row>
    <row r="3" spans="1:26" x14ac:dyDescent="0.3">
      <c r="A3">
        <v>3</v>
      </c>
      <c r="B3" cm="1">
        <f t="array" ref="B3">INDEX($A$1:$A$10,INT((ROW()-1)/10)+1)</f>
        <v>1</v>
      </c>
      <c r="C3" cm="1">
        <f t="array" ref="C3">INDEX($A$1:$A$10,MOD(ROW()-1,10)+1)</f>
        <v>3</v>
      </c>
      <c r="H3" t="s">
        <v>108</v>
      </c>
      <c r="I3" t="s">
        <v>53</v>
      </c>
      <c r="J3" t="s">
        <v>101</v>
      </c>
      <c r="K3" t="s">
        <v>102</v>
      </c>
      <c r="L3" t="s">
        <v>103</v>
      </c>
      <c r="M3" t="s">
        <v>104</v>
      </c>
      <c r="N3" t="s">
        <v>109</v>
      </c>
      <c r="O3" t="s">
        <v>110</v>
      </c>
      <c r="P3" s="5">
        <v>45297</v>
      </c>
      <c r="Q3" s="5">
        <v>45320</v>
      </c>
      <c r="R3" s="5">
        <v>45324</v>
      </c>
      <c r="S3">
        <v>1</v>
      </c>
      <c r="T3">
        <v>4</v>
      </c>
      <c r="U3" t="s">
        <v>107</v>
      </c>
      <c r="V3">
        <v>1800</v>
      </c>
      <c r="W3">
        <v>450</v>
      </c>
      <c r="X3">
        <v>800</v>
      </c>
      <c r="Y3">
        <v>3050</v>
      </c>
      <c r="Z3" t="s">
        <v>3</v>
      </c>
    </row>
    <row r="4" spans="1:26" x14ac:dyDescent="0.3">
      <c r="A4">
        <v>4</v>
      </c>
      <c r="B4" cm="1">
        <f t="array" ref="B4">INDEX($A$1:$A$10,INT((ROW()-1)/10)+1)</f>
        <v>1</v>
      </c>
      <c r="C4" cm="1">
        <f t="array" ref="C4">INDEX($A$1:$A$10,MOD(ROW()-1,10)+1)</f>
        <v>4</v>
      </c>
      <c r="H4" t="s">
        <v>111</v>
      </c>
      <c r="I4" t="s">
        <v>53</v>
      </c>
      <c r="J4" t="s">
        <v>112</v>
      </c>
      <c r="K4" t="s">
        <v>102</v>
      </c>
      <c r="L4" t="s">
        <v>113</v>
      </c>
      <c r="M4" t="s">
        <v>104</v>
      </c>
      <c r="N4" t="s">
        <v>114</v>
      </c>
      <c r="O4" t="s">
        <v>106</v>
      </c>
      <c r="P4" s="5">
        <v>45298</v>
      </c>
      <c r="Q4" s="5">
        <v>45321</v>
      </c>
      <c r="R4" s="5">
        <v>45321</v>
      </c>
      <c r="S4">
        <v>0</v>
      </c>
      <c r="T4">
        <v>0</v>
      </c>
      <c r="U4" t="s">
        <v>115</v>
      </c>
      <c r="V4">
        <v>3800</v>
      </c>
      <c r="W4">
        <v>700</v>
      </c>
      <c r="X4">
        <v>0</v>
      </c>
      <c r="Y4">
        <v>4500</v>
      </c>
      <c r="Z4" t="s">
        <v>3</v>
      </c>
    </row>
    <row r="5" spans="1:26" x14ac:dyDescent="0.3">
      <c r="A5">
        <v>5</v>
      </c>
      <c r="B5" cm="1">
        <f t="array" ref="B5">INDEX($A$1:$A$10,INT((ROW()-1)/10)+1)</f>
        <v>1</v>
      </c>
      <c r="C5" cm="1">
        <f t="array" ref="C5">INDEX($A$1:$A$10,MOD(ROW()-1,10)+1)</f>
        <v>5</v>
      </c>
      <c r="H5" t="s">
        <v>116</v>
      </c>
      <c r="I5" t="s">
        <v>58</v>
      </c>
      <c r="J5" t="s">
        <v>112</v>
      </c>
      <c r="K5" t="s">
        <v>102</v>
      </c>
      <c r="L5" t="s">
        <v>113</v>
      </c>
      <c r="M5" t="s">
        <v>104</v>
      </c>
      <c r="N5" t="s">
        <v>105</v>
      </c>
      <c r="O5" t="s">
        <v>110</v>
      </c>
      <c r="P5" s="5">
        <v>45299</v>
      </c>
      <c r="Q5" s="5">
        <v>45322</v>
      </c>
      <c r="R5" s="5">
        <v>45327</v>
      </c>
      <c r="S5">
        <v>1</v>
      </c>
      <c r="T5">
        <v>5</v>
      </c>
      <c r="U5" t="s">
        <v>117</v>
      </c>
      <c r="V5">
        <v>3600</v>
      </c>
      <c r="W5">
        <v>650</v>
      </c>
      <c r="X5">
        <v>1000</v>
      </c>
      <c r="Y5">
        <v>5250</v>
      </c>
      <c r="Z5" t="s">
        <v>3</v>
      </c>
    </row>
    <row r="6" spans="1:26" x14ac:dyDescent="0.3">
      <c r="A6">
        <v>6</v>
      </c>
      <c r="B6" cm="1">
        <f t="array" ref="B6">INDEX($A$1:$A$10,INT((ROW()-1)/10)+1)</f>
        <v>1</v>
      </c>
      <c r="C6" cm="1">
        <f t="array" ref="C6">INDEX($A$1:$A$10,MOD(ROW()-1,10)+1)</f>
        <v>6</v>
      </c>
      <c r="H6" t="s">
        <v>118</v>
      </c>
      <c r="I6" t="s">
        <v>62</v>
      </c>
      <c r="J6" t="s">
        <v>119</v>
      </c>
      <c r="K6" t="s">
        <v>120</v>
      </c>
      <c r="L6" t="s">
        <v>121</v>
      </c>
      <c r="M6" t="s">
        <v>104</v>
      </c>
      <c r="N6" t="s">
        <v>109</v>
      </c>
      <c r="O6" t="s">
        <v>106</v>
      </c>
      <c r="P6" s="5">
        <v>45300</v>
      </c>
      <c r="Q6" s="5">
        <v>45323</v>
      </c>
      <c r="R6" s="5">
        <v>45323</v>
      </c>
      <c r="S6">
        <v>0</v>
      </c>
      <c r="T6">
        <v>0</v>
      </c>
      <c r="U6" t="s">
        <v>107</v>
      </c>
      <c r="V6">
        <v>1700</v>
      </c>
      <c r="W6">
        <v>400</v>
      </c>
      <c r="X6">
        <v>0</v>
      </c>
      <c r="Y6">
        <v>2100</v>
      </c>
      <c r="Z6" t="s">
        <v>3</v>
      </c>
    </row>
    <row r="7" spans="1:26" x14ac:dyDescent="0.3">
      <c r="A7">
        <v>7</v>
      </c>
      <c r="B7" cm="1">
        <f t="array" ref="B7">INDEX($A$1:$A$10,INT((ROW()-1)/10)+1)</f>
        <v>1</v>
      </c>
      <c r="C7" cm="1">
        <f t="array" ref="C7">INDEX($A$1:$A$10,MOD(ROW()-1,10)+1)</f>
        <v>7</v>
      </c>
    </row>
    <row r="8" spans="1:26" x14ac:dyDescent="0.3">
      <c r="A8">
        <v>8</v>
      </c>
      <c r="B8" cm="1">
        <f t="array" ref="B8">INDEX($A$1:$A$10,INT((ROW()-1)/10)+1)</f>
        <v>1</v>
      </c>
      <c r="C8" cm="1">
        <f t="array" ref="C8">INDEX($A$1:$A$10,MOD(ROW()-1,10)+1)</f>
        <v>8</v>
      </c>
    </row>
    <row r="9" spans="1:26" x14ac:dyDescent="0.3">
      <c r="A9">
        <v>9</v>
      </c>
      <c r="B9" cm="1">
        <f t="array" ref="B9">INDEX($A$1:$A$10,INT((ROW()-1)/10)+1)</f>
        <v>1</v>
      </c>
      <c r="C9" cm="1">
        <f t="array" ref="C9">INDEX($A$1:$A$10,MOD(ROW()-1,10)+1)</f>
        <v>9</v>
      </c>
    </row>
    <row r="10" spans="1:26" x14ac:dyDescent="0.3">
      <c r="A10">
        <v>10</v>
      </c>
      <c r="B10" cm="1">
        <f t="array" ref="B10">INDEX($A$1:$A$10,INT((ROW()-1)/10)+1)</f>
        <v>1</v>
      </c>
      <c r="C10" cm="1">
        <f t="array" ref="C10">INDEX($A$1:$A$10,MOD(ROW()-1,10)+1)</f>
        <v>10</v>
      </c>
    </row>
    <row r="11" spans="1:26" x14ac:dyDescent="0.3">
      <c r="B11" cm="1">
        <f t="array" ref="B11">INDEX($A$1:$A$10,INT((ROW()-1)/10)+1)</f>
        <v>2</v>
      </c>
      <c r="C11" cm="1">
        <f t="array" ref="C11">INDEX($A$1:$A$10,MOD(ROW()-1,10)+1)</f>
        <v>1</v>
      </c>
    </row>
    <row r="12" spans="1:26" x14ac:dyDescent="0.3">
      <c r="B12" cm="1">
        <f t="array" ref="B12">INDEX($A$1:$A$10,INT((ROW()-1)/10)+1)</f>
        <v>2</v>
      </c>
      <c r="C12" cm="1">
        <f t="array" ref="C12">INDEX($A$1:$A$10,MOD(ROW()-1,10)+1)</f>
        <v>2</v>
      </c>
    </row>
    <row r="13" spans="1:26" x14ac:dyDescent="0.3">
      <c r="B13" cm="1">
        <f t="array" ref="B13">INDEX($A$1:$A$10,INT((ROW()-1)/10)+1)</f>
        <v>2</v>
      </c>
      <c r="C13" cm="1">
        <f t="array" ref="C13">INDEX($A$1:$A$10,MOD(ROW()-1,10)+1)</f>
        <v>3</v>
      </c>
    </row>
    <row r="14" spans="1:26" x14ac:dyDescent="0.3">
      <c r="B14" cm="1">
        <f t="array" ref="B14">INDEX($A$1:$A$10,INT((ROW()-1)/10)+1)</f>
        <v>2</v>
      </c>
      <c r="C14" cm="1">
        <f t="array" ref="C14">INDEX($A$1:$A$10,MOD(ROW()-1,10)+1)</f>
        <v>4</v>
      </c>
    </row>
    <row r="15" spans="1:26" x14ac:dyDescent="0.3">
      <c r="B15" cm="1">
        <f t="array" ref="B15">INDEX($A$1:$A$10,INT((ROW()-1)/10)+1)</f>
        <v>2</v>
      </c>
      <c r="C15" cm="1">
        <f t="array" ref="C15">INDEX($A$1:$A$10,MOD(ROW()-1,10)+1)</f>
        <v>5</v>
      </c>
    </row>
    <row r="16" spans="1:26" x14ac:dyDescent="0.3">
      <c r="B16" cm="1">
        <f t="array" ref="B16">INDEX($A$1:$A$10,INT((ROW()-1)/10)+1)</f>
        <v>2</v>
      </c>
      <c r="C16" cm="1">
        <f t="array" ref="C16">INDEX($A$1:$A$10,MOD(ROW()-1,10)+1)</f>
        <v>6</v>
      </c>
    </row>
    <row r="17" spans="2:3" x14ac:dyDescent="0.3">
      <c r="B17" cm="1">
        <f t="array" ref="B17">INDEX($A$1:$A$10,INT((ROW()-1)/10)+1)</f>
        <v>2</v>
      </c>
      <c r="C17" cm="1">
        <f t="array" ref="C17">INDEX($A$1:$A$10,MOD(ROW()-1,10)+1)</f>
        <v>7</v>
      </c>
    </row>
    <row r="18" spans="2:3" x14ac:dyDescent="0.3">
      <c r="B18" cm="1">
        <f t="array" ref="B18">INDEX($A$1:$A$10,INT((ROW()-1)/10)+1)</f>
        <v>2</v>
      </c>
      <c r="C18" cm="1">
        <f t="array" ref="C18">INDEX($A$1:$A$10,MOD(ROW()-1,10)+1)</f>
        <v>8</v>
      </c>
    </row>
    <row r="19" spans="2:3" x14ac:dyDescent="0.3">
      <c r="B19" cm="1">
        <f t="array" ref="B19">INDEX($A$1:$A$10,INT((ROW()-1)/10)+1)</f>
        <v>2</v>
      </c>
      <c r="C19" cm="1">
        <f t="array" ref="C19">INDEX($A$1:$A$10,MOD(ROW()-1,10)+1)</f>
        <v>9</v>
      </c>
    </row>
    <row r="20" spans="2:3" x14ac:dyDescent="0.3">
      <c r="B20" cm="1">
        <f t="array" ref="B20">INDEX($A$1:$A$10,INT((ROW()-1)/10)+1)</f>
        <v>2</v>
      </c>
      <c r="C20" cm="1">
        <f t="array" ref="C20">INDEX($A$1:$A$10,MOD(ROW()-1,10)+1)</f>
        <v>10</v>
      </c>
    </row>
    <row r="21" spans="2:3" x14ac:dyDescent="0.3">
      <c r="B21" cm="1">
        <f t="array" ref="B21">INDEX($A$1:$A$10,INT((ROW()-1)/10)+1)</f>
        <v>3</v>
      </c>
      <c r="C21" cm="1">
        <f t="array" ref="C21">INDEX($A$1:$A$10,MOD(ROW()-1,10)+1)</f>
        <v>1</v>
      </c>
    </row>
    <row r="22" spans="2:3" x14ac:dyDescent="0.3">
      <c r="B22" cm="1">
        <f t="array" ref="B22">INDEX($A$1:$A$10,INT((ROW()-1)/10)+1)</f>
        <v>3</v>
      </c>
      <c r="C22" cm="1">
        <f t="array" ref="C22">INDEX($A$1:$A$10,MOD(ROW()-1,10)+1)</f>
        <v>2</v>
      </c>
    </row>
    <row r="23" spans="2:3" x14ac:dyDescent="0.3">
      <c r="B23" cm="1">
        <f t="array" ref="B23">INDEX($A$1:$A$10,INT((ROW()-1)/10)+1)</f>
        <v>3</v>
      </c>
      <c r="C23" cm="1">
        <f t="array" ref="C23">INDEX($A$1:$A$10,MOD(ROW()-1,10)+1)</f>
        <v>3</v>
      </c>
    </row>
    <row r="24" spans="2:3" x14ac:dyDescent="0.3">
      <c r="B24" cm="1">
        <f t="array" ref="B24">INDEX($A$1:$A$10,INT((ROW()-1)/10)+1)</f>
        <v>3</v>
      </c>
      <c r="C24" cm="1">
        <f t="array" ref="C24">INDEX($A$1:$A$10,MOD(ROW()-1,10)+1)</f>
        <v>4</v>
      </c>
    </row>
    <row r="25" spans="2:3" x14ac:dyDescent="0.3">
      <c r="B25" cm="1">
        <f t="array" ref="B25">INDEX($A$1:$A$10,INT((ROW()-1)/10)+1)</f>
        <v>3</v>
      </c>
      <c r="C25" cm="1">
        <f t="array" ref="C25">INDEX($A$1:$A$10,MOD(ROW()-1,10)+1)</f>
        <v>5</v>
      </c>
    </row>
    <row r="26" spans="2:3" x14ac:dyDescent="0.3">
      <c r="B26" cm="1">
        <f t="array" ref="B26">INDEX($A$1:$A$10,INT((ROW()-1)/10)+1)</f>
        <v>3</v>
      </c>
      <c r="C26" cm="1">
        <f t="array" ref="C26">INDEX($A$1:$A$10,MOD(ROW()-1,10)+1)</f>
        <v>6</v>
      </c>
    </row>
    <row r="27" spans="2:3" x14ac:dyDescent="0.3">
      <c r="B27" cm="1">
        <f t="array" ref="B27">INDEX($A$1:$A$10,INT((ROW()-1)/10)+1)</f>
        <v>3</v>
      </c>
      <c r="C27" cm="1">
        <f t="array" ref="C27">INDEX($A$1:$A$10,MOD(ROW()-1,10)+1)</f>
        <v>7</v>
      </c>
    </row>
    <row r="28" spans="2:3" x14ac:dyDescent="0.3">
      <c r="B28" cm="1">
        <f t="array" ref="B28">INDEX($A$1:$A$10,INT((ROW()-1)/10)+1)</f>
        <v>3</v>
      </c>
      <c r="C28" cm="1">
        <f t="array" ref="C28">INDEX($A$1:$A$10,MOD(ROW()-1,10)+1)</f>
        <v>8</v>
      </c>
    </row>
    <row r="29" spans="2:3" x14ac:dyDescent="0.3">
      <c r="B29" cm="1">
        <f t="array" ref="B29">INDEX($A$1:$A$10,INT((ROW()-1)/10)+1)</f>
        <v>3</v>
      </c>
      <c r="C29" cm="1">
        <f t="array" ref="C29">INDEX($A$1:$A$10,MOD(ROW()-1,10)+1)</f>
        <v>9</v>
      </c>
    </row>
    <row r="30" spans="2:3" x14ac:dyDescent="0.3">
      <c r="B30" cm="1">
        <f t="array" ref="B30">INDEX($A$1:$A$10,INT((ROW()-1)/10)+1)</f>
        <v>3</v>
      </c>
      <c r="C30" cm="1">
        <f t="array" ref="C30">INDEX($A$1:$A$10,MOD(ROW()-1,10)+1)</f>
        <v>10</v>
      </c>
    </row>
    <row r="31" spans="2:3" x14ac:dyDescent="0.3">
      <c r="B31" cm="1">
        <f t="array" ref="B31">INDEX($A$1:$A$10,INT((ROW()-1)/10)+1)</f>
        <v>4</v>
      </c>
      <c r="C31" cm="1">
        <f t="array" ref="C31">INDEX($A$1:$A$10,MOD(ROW()-1,10)+1)</f>
        <v>1</v>
      </c>
    </row>
    <row r="32" spans="2:3" x14ac:dyDescent="0.3">
      <c r="B32" cm="1">
        <f t="array" ref="B32">INDEX($A$1:$A$10,INT((ROW()-1)/10)+1)</f>
        <v>4</v>
      </c>
      <c r="C32" cm="1">
        <f t="array" ref="C32">INDEX($A$1:$A$10,MOD(ROW()-1,10)+1)</f>
        <v>2</v>
      </c>
    </row>
    <row r="33" spans="2:3" x14ac:dyDescent="0.3">
      <c r="B33" cm="1">
        <f t="array" ref="B33">INDEX($A$1:$A$10,INT((ROW()-1)/10)+1)</f>
        <v>4</v>
      </c>
      <c r="C33" cm="1">
        <f t="array" ref="C33">INDEX($A$1:$A$10,MOD(ROW()-1,10)+1)</f>
        <v>3</v>
      </c>
    </row>
    <row r="34" spans="2:3" x14ac:dyDescent="0.3">
      <c r="B34" cm="1">
        <f t="array" ref="B34">INDEX($A$1:$A$10,INT((ROW()-1)/10)+1)</f>
        <v>4</v>
      </c>
      <c r="C34" cm="1">
        <f t="array" ref="C34">INDEX($A$1:$A$10,MOD(ROW()-1,10)+1)</f>
        <v>4</v>
      </c>
    </row>
    <row r="35" spans="2:3" x14ac:dyDescent="0.3">
      <c r="B35" cm="1">
        <f t="array" ref="B35">INDEX($A$1:$A$10,INT((ROW()-1)/10)+1)</f>
        <v>4</v>
      </c>
      <c r="C35" cm="1">
        <f t="array" ref="C35">INDEX($A$1:$A$10,MOD(ROW()-1,10)+1)</f>
        <v>5</v>
      </c>
    </row>
    <row r="36" spans="2:3" x14ac:dyDescent="0.3">
      <c r="B36" cm="1">
        <f t="array" ref="B36">INDEX($A$1:$A$10,INT((ROW()-1)/10)+1)</f>
        <v>4</v>
      </c>
      <c r="C36" cm="1">
        <f t="array" ref="C36">INDEX($A$1:$A$10,MOD(ROW()-1,10)+1)</f>
        <v>6</v>
      </c>
    </row>
    <row r="37" spans="2:3" x14ac:dyDescent="0.3">
      <c r="B37" cm="1">
        <f t="array" ref="B37">INDEX($A$1:$A$10,INT((ROW()-1)/10)+1)</f>
        <v>4</v>
      </c>
      <c r="C37" cm="1">
        <f t="array" ref="C37">INDEX($A$1:$A$10,MOD(ROW()-1,10)+1)</f>
        <v>7</v>
      </c>
    </row>
    <row r="38" spans="2:3" x14ac:dyDescent="0.3">
      <c r="B38" cm="1">
        <f t="array" ref="B38">INDEX($A$1:$A$10,INT((ROW()-1)/10)+1)</f>
        <v>4</v>
      </c>
      <c r="C38" cm="1">
        <f t="array" ref="C38">INDEX($A$1:$A$10,MOD(ROW()-1,10)+1)</f>
        <v>8</v>
      </c>
    </row>
    <row r="39" spans="2:3" x14ac:dyDescent="0.3">
      <c r="B39" cm="1">
        <f t="array" ref="B39">INDEX($A$1:$A$10,INT((ROW()-1)/10)+1)</f>
        <v>4</v>
      </c>
      <c r="C39" cm="1">
        <f t="array" ref="C39">INDEX($A$1:$A$10,MOD(ROW()-1,10)+1)</f>
        <v>9</v>
      </c>
    </row>
    <row r="40" spans="2:3" x14ac:dyDescent="0.3">
      <c r="B40" cm="1">
        <f t="array" ref="B40">INDEX($A$1:$A$10,INT((ROW()-1)/10)+1)</f>
        <v>4</v>
      </c>
      <c r="C40" cm="1">
        <f t="array" ref="C40">INDEX($A$1:$A$10,MOD(ROW()-1,10)+1)</f>
        <v>10</v>
      </c>
    </row>
    <row r="41" spans="2:3" x14ac:dyDescent="0.3">
      <c r="B41" cm="1">
        <f t="array" ref="B41">INDEX($A$1:$A$10,INT((ROW()-1)/10)+1)</f>
        <v>5</v>
      </c>
      <c r="C41" cm="1">
        <f t="array" ref="C41">INDEX($A$1:$A$10,MOD(ROW()-1,10)+1)</f>
        <v>1</v>
      </c>
    </row>
    <row r="42" spans="2:3" x14ac:dyDescent="0.3">
      <c r="B42" cm="1">
        <f t="array" ref="B42">INDEX($A$1:$A$10,INT((ROW()-1)/10)+1)</f>
        <v>5</v>
      </c>
      <c r="C42" cm="1">
        <f t="array" ref="C42">INDEX($A$1:$A$10,MOD(ROW()-1,10)+1)</f>
        <v>2</v>
      </c>
    </row>
    <row r="43" spans="2:3" x14ac:dyDescent="0.3">
      <c r="B43" cm="1">
        <f t="array" ref="B43">INDEX($A$1:$A$10,INT((ROW()-1)/10)+1)</f>
        <v>5</v>
      </c>
      <c r="C43" cm="1">
        <f t="array" ref="C43">INDEX($A$1:$A$10,MOD(ROW()-1,10)+1)</f>
        <v>3</v>
      </c>
    </row>
    <row r="44" spans="2:3" x14ac:dyDescent="0.3">
      <c r="B44" cm="1">
        <f t="array" ref="B44">INDEX($A$1:$A$10,INT((ROW()-1)/10)+1)</f>
        <v>5</v>
      </c>
      <c r="C44" cm="1">
        <f t="array" ref="C44">INDEX($A$1:$A$10,MOD(ROW()-1,10)+1)</f>
        <v>4</v>
      </c>
    </row>
    <row r="45" spans="2:3" x14ac:dyDescent="0.3">
      <c r="B45" cm="1">
        <f t="array" ref="B45">INDEX($A$1:$A$10,INT((ROW()-1)/10)+1)</f>
        <v>5</v>
      </c>
      <c r="C45" cm="1">
        <f t="array" ref="C45">INDEX($A$1:$A$10,MOD(ROW()-1,10)+1)</f>
        <v>5</v>
      </c>
    </row>
    <row r="46" spans="2:3" x14ac:dyDescent="0.3">
      <c r="B46" cm="1">
        <f t="array" ref="B46">INDEX($A$1:$A$10,INT((ROW()-1)/10)+1)</f>
        <v>5</v>
      </c>
      <c r="C46" cm="1">
        <f t="array" ref="C46">INDEX($A$1:$A$10,MOD(ROW()-1,10)+1)</f>
        <v>6</v>
      </c>
    </row>
    <row r="47" spans="2:3" x14ac:dyDescent="0.3">
      <c r="B47" cm="1">
        <f t="array" ref="B47">INDEX($A$1:$A$10,INT((ROW()-1)/10)+1)</f>
        <v>5</v>
      </c>
      <c r="C47" cm="1">
        <f t="array" ref="C47">INDEX($A$1:$A$10,MOD(ROW()-1,10)+1)</f>
        <v>7</v>
      </c>
    </row>
    <row r="48" spans="2:3" x14ac:dyDescent="0.3">
      <c r="B48" cm="1">
        <f t="array" ref="B48">INDEX($A$1:$A$10,INT((ROW()-1)/10)+1)</f>
        <v>5</v>
      </c>
      <c r="C48" cm="1">
        <f t="array" ref="C48">INDEX($A$1:$A$10,MOD(ROW()-1,10)+1)</f>
        <v>8</v>
      </c>
    </row>
    <row r="49" spans="2:3" x14ac:dyDescent="0.3">
      <c r="B49" cm="1">
        <f t="array" ref="B49">INDEX($A$1:$A$10,INT((ROW()-1)/10)+1)</f>
        <v>5</v>
      </c>
      <c r="C49" cm="1">
        <f t="array" ref="C49">INDEX($A$1:$A$10,MOD(ROW()-1,10)+1)</f>
        <v>9</v>
      </c>
    </row>
    <row r="50" spans="2:3" x14ac:dyDescent="0.3">
      <c r="B50" cm="1">
        <f t="array" ref="B50">INDEX($A$1:$A$10,INT((ROW()-1)/10)+1)</f>
        <v>5</v>
      </c>
      <c r="C50" cm="1">
        <f t="array" ref="C50">INDEX($A$1:$A$10,MOD(ROW()-1,10)+1)</f>
        <v>10</v>
      </c>
    </row>
    <row r="51" spans="2:3" x14ac:dyDescent="0.3">
      <c r="B51" cm="1">
        <f t="array" ref="B51">INDEX($A$1:$A$10,INT((ROW()-1)/10)+1)</f>
        <v>6</v>
      </c>
      <c r="C51" cm="1">
        <f t="array" ref="C51">INDEX($A$1:$A$10,MOD(ROW()-1,10)+1)</f>
        <v>1</v>
      </c>
    </row>
    <row r="52" spans="2:3" x14ac:dyDescent="0.3">
      <c r="B52" cm="1">
        <f t="array" ref="B52">INDEX($A$1:$A$10,INT((ROW()-1)/10)+1)</f>
        <v>6</v>
      </c>
      <c r="C52" cm="1">
        <f t="array" ref="C52">INDEX($A$1:$A$10,MOD(ROW()-1,10)+1)</f>
        <v>2</v>
      </c>
    </row>
    <row r="53" spans="2:3" x14ac:dyDescent="0.3">
      <c r="B53" cm="1">
        <f t="array" ref="B53">INDEX($A$1:$A$10,INT((ROW()-1)/10)+1)</f>
        <v>6</v>
      </c>
      <c r="C53" cm="1">
        <f t="array" ref="C53">INDEX($A$1:$A$10,MOD(ROW()-1,10)+1)</f>
        <v>3</v>
      </c>
    </row>
    <row r="54" spans="2:3" x14ac:dyDescent="0.3">
      <c r="B54" cm="1">
        <f t="array" ref="B54">INDEX($A$1:$A$10,INT((ROW()-1)/10)+1)</f>
        <v>6</v>
      </c>
      <c r="C54" cm="1">
        <f t="array" ref="C54">INDEX($A$1:$A$10,MOD(ROW()-1,10)+1)</f>
        <v>4</v>
      </c>
    </row>
    <row r="55" spans="2:3" x14ac:dyDescent="0.3">
      <c r="B55" cm="1">
        <f t="array" ref="B55">INDEX($A$1:$A$10,INT((ROW()-1)/10)+1)</f>
        <v>6</v>
      </c>
      <c r="C55" cm="1">
        <f t="array" ref="C55">INDEX($A$1:$A$10,MOD(ROW()-1,10)+1)</f>
        <v>5</v>
      </c>
    </row>
    <row r="56" spans="2:3" x14ac:dyDescent="0.3">
      <c r="B56" cm="1">
        <f t="array" ref="B56">INDEX($A$1:$A$10,INT((ROW()-1)/10)+1)</f>
        <v>6</v>
      </c>
      <c r="C56" cm="1">
        <f t="array" ref="C56">INDEX($A$1:$A$10,MOD(ROW()-1,10)+1)</f>
        <v>6</v>
      </c>
    </row>
    <row r="57" spans="2:3" x14ac:dyDescent="0.3">
      <c r="B57" cm="1">
        <f t="array" ref="B57">INDEX($A$1:$A$10,INT((ROW()-1)/10)+1)</f>
        <v>6</v>
      </c>
      <c r="C57" cm="1">
        <f t="array" ref="C57">INDEX($A$1:$A$10,MOD(ROW()-1,10)+1)</f>
        <v>7</v>
      </c>
    </row>
    <row r="58" spans="2:3" x14ac:dyDescent="0.3">
      <c r="B58" cm="1">
        <f t="array" ref="B58">INDEX($A$1:$A$10,INT((ROW()-1)/10)+1)</f>
        <v>6</v>
      </c>
      <c r="C58" cm="1">
        <f t="array" ref="C58">INDEX($A$1:$A$10,MOD(ROW()-1,10)+1)</f>
        <v>8</v>
      </c>
    </row>
    <row r="59" spans="2:3" x14ac:dyDescent="0.3">
      <c r="B59" cm="1">
        <f t="array" ref="B59">INDEX($A$1:$A$10,INT((ROW()-1)/10)+1)</f>
        <v>6</v>
      </c>
      <c r="C59" cm="1">
        <f t="array" ref="C59">INDEX($A$1:$A$10,MOD(ROW()-1,10)+1)</f>
        <v>9</v>
      </c>
    </row>
    <row r="60" spans="2:3" x14ac:dyDescent="0.3">
      <c r="B60" cm="1">
        <f t="array" ref="B60">INDEX($A$1:$A$10,INT((ROW()-1)/10)+1)</f>
        <v>6</v>
      </c>
      <c r="C60" cm="1">
        <f t="array" ref="C60">INDEX($A$1:$A$10,MOD(ROW()-1,10)+1)</f>
        <v>10</v>
      </c>
    </row>
    <row r="61" spans="2:3" x14ac:dyDescent="0.3">
      <c r="B61" cm="1">
        <f t="array" ref="B61">INDEX($A$1:$A$10,INT((ROW()-1)/10)+1)</f>
        <v>7</v>
      </c>
      <c r="C61" cm="1">
        <f t="array" ref="C61">INDEX($A$1:$A$10,MOD(ROW()-1,10)+1)</f>
        <v>1</v>
      </c>
    </row>
    <row r="62" spans="2:3" x14ac:dyDescent="0.3">
      <c r="B62" cm="1">
        <f t="array" ref="B62">INDEX($A$1:$A$10,INT((ROW()-1)/10)+1)</f>
        <v>7</v>
      </c>
      <c r="C62" cm="1">
        <f t="array" ref="C62">INDEX($A$1:$A$10,MOD(ROW()-1,10)+1)</f>
        <v>2</v>
      </c>
    </row>
    <row r="63" spans="2:3" x14ac:dyDescent="0.3">
      <c r="B63" cm="1">
        <f t="array" ref="B63">INDEX($A$1:$A$10,INT((ROW()-1)/10)+1)</f>
        <v>7</v>
      </c>
      <c r="C63" cm="1">
        <f t="array" ref="C63">INDEX($A$1:$A$10,MOD(ROW()-1,10)+1)</f>
        <v>3</v>
      </c>
    </row>
    <row r="64" spans="2:3" x14ac:dyDescent="0.3">
      <c r="B64" cm="1">
        <f t="array" ref="B64">INDEX($A$1:$A$10,INT((ROW()-1)/10)+1)</f>
        <v>7</v>
      </c>
      <c r="C64" cm="1">
        <f t="array" ref="C64">INDEX($A$1:$A$10,MOD(ROW()-1,10)+1)</f>
        <v>4</v>
      </c>
    </row>
    <row r="65" spans="2:3" x14ac:dyDescent="0.3">
      <c r="B65" cm="1">
        <f t="array" ref="B65">INDEX($A$1:$A$10,INT((ROW()-1)/10)+1)</f>
        <v>7</v>
      </c>
      <c r="C65" cm="1">
        <f t="array" ref="C65">INDEX($A$1:$A$10,MOD(ROW()-1,10)+1)</f>
        <v>5</v>
      </c>
    </row>
    <row r="66" spans="2:3" x14ac:dyDescent="0.3">
      <c r="B66" cm="1">
        <f t="array" ref="B66">INDEX($A$1:$A$10,INT((ROW()-1)/10)+1)</f>
        <v>7</v>
      </c>
      <c r="C66" cm="1">
        <f t="array" ref="C66">INDEX($A$1:$A$10,MOD(ROW()-1,10)+1)</f>
        <v>6</v>
      </c>
    </row>
    <row r="67" spans="2:3" x14ac:dyDescent="0.3">
      <c r="B67" cm="1">
        <f t="array" ref="B67">INDEX($A$1:$A$10,INT((ROW()-1)/10)+1)</f>
        <v>7</v>
      </c>
      <c r="C67" cm="1">
        <f t="array" ref="C67">INDEX($A$1:$A$10,MOD(ROW()-1,10)+1)</f>
        <v>7</v>
      </c>
    </row>
    <row r="68" spans="2:3" x14ac:dyDescent="0.3">
      <c r="B68" cm="1">
        <f t="array" ref="B68">INDEX($A$1:$A$10,INT((ROW()-1)/10)+1)</f>
        <v>7</v>
      </c>
      <c r="C68" cm="1">
        <f t="array" ref="C68">INDEX($A$1:$A$10,MOD(ROW()-1,10)+1)</f>
        <v>8</v>
      </c>
    </row>
    <row r="69" spans="2:3" x14ac:dyDescent="0.3">
      <c r="B69" cm="1">
        <f t="array" ref="B69">INDEX($A$1:$A$10,INT((ROW()-1)/10)+1)</f>
        <v>7</v>
      </c>
      <c r="C69" cm="1">
        <f t="array" ref="C69">INDEX($A$1:$A$10,MOD(ROW()-1,10)+1)</f>
        <v>9</v>
      </c>
    </row>
    <row r="70" spans="2:3" x14ac:dyDescent="0.3">
      <c r="B70" cm="1">
        <f t="array" ref="B70">INDEX($A$1:$A$10,INT((ROW()-1)/10)+1)</f>
        <v>7</v>
      </c>
      <c r="C70" cm="1">
        <f t="array" ref="C70">INDEX($A$1:$A$10,MOD(ROW()-1,10)+1)</f>
        <v>10</v>
      </c>
    </row>
    <row r="71" spans="2:3" x14ac:dyDescent="0.3">
      <c r="B71" cm="1">
        <f t="array" ref="B71">INDEX($A$1:$A$10,INT((ROW()-1)/10)+1)</f>
        <v>8</v>
      </c>
      <c r="C71" cm="1">
        <f t="array" ref="C71">INDEX($A$1:$A$10,MOD(ROW()-1,10)+1)</f>
        <v>1</v>
      </c>
    </row>
    <row r="72" spans="2:3" x14ac:dyDescent="0.3">
      <c r="B72" cm="1">
        <f t="array" ref="B72">INDEX($A$1:$A$10,INT((ROW()-1)/10)+1)</f>
        <v>8</v>
      </c>
      <c r="C72" cm="1">
        <f t="array" ref="C72">INDEX($A$1:$A$10,MOD(ROW()-1,10)+1)</f>
        <v>2</v>
      </c>
    </row>
    <row r="73" spans="2:3" x14ac:dyDescent="0.3">
      <c r="B73" cm="1">
        <f t="array" ref="B73">INDEX($A$1:$A$10,INT((ROW()-1)/10)+1)</f>
        <v>8</v>
      </c>
      <c r="C73" cm="1">
        <f t="array" ref="C73">INDEX($A$1:$A$10,MOD(ROW()-1,10)+1)</f>
        <v>3</v>
      </c>
    </row>
    <row r="74" spans="2:3" x14ac:dyDescent="0.3">
      <c r="B74" cm="1">
        <f t="array" ref="B74">INDEX($A$1:$A$10,INT((ROW()-1)/10)+1)</f>
        <v>8</v>
      </c>
      <c r="C74" cm="1">
        <f t="array" ref="C74">INDEX($A$1:$A$10,MOD(ROW()-1,10)+1)</f>
        <v>4</v>
      </c>
    </row>
    <row r="75" spans="2:3" x14ac:dyDescent="0.3">
      <c r="B75" cm="1">
        <f t="array" ref="B75">INDEX($A$1:$A$10,INT((ROW()-1)/10)+1)</f>
        <v>8</v>
      </c>
      <c r="C75" cm="1">
        <f t="array" ref="C75">INDEX($A$1:$A$10,MOD(ROW()-1,10)+1)</f>
        <v>5</v>
      </c>
    </row>
    <row r="76" spans="2:3" x14ac:dyDescent="0.3">
      <c r="B76" cm="1">
        <f t="array" ref="B76">INDEX($A$1:$A$10,INT((ROW()-1)/10)+1)</f>
        <v>8</v>
      </c>
      <c r="C76" cm="1">
        <f t="array" ref="C76">INDEX($A$1:$A$10,MOD(ROW()-1,10)+1)</f>
        <v>6</v>
      </c>
    </row>
    <row r="77" spans="2:3" x14ac:dyDescent="0.3">
      <c r="B77" cm="1">
        <f t="array" ref="B77">INDEX($A$1:$A$10,INT((ROW()-1)/10)+1)</f>
        <v>8</v>
      </c>
      <c r="C77" cm="1">
        <f t="array" ref="C77">INDEX($A$1:$A$10,MOD(ROW()-1,10)+1)</f>
        <v>7</v>
      </c>
    </row>
    <row r="78" spans="2:3" x14ac:dyDescent="0.3">
      <c r="B78" cm="1">
        <f t="array" ref="B78">INDEX($A$1:$A$10,INT((ROW()-1)/10)+1)</f>
        <v>8</v>
      </c>
      <c r="C78" cm="1">
        <f t="array" ref="C78">INDEX($A$1:$A$10,MOD(ROW()-1,10)+1)</f>
        <v>8</v>
      </c>
    </row>
    <row r="79" spans="2:3" x14ac:dyDescent="0.3">
      <c r="B79" cm="1">
        <f t="array" ref="B79">INDEX($A$1:$A$10,INT((ROW()-1)/10)+1)</f>
        <v>8</v>
      </c>
      <c r="C79" cm="1">
        <f t="array" ref="C79">INDEX($A$1:$A$10,MOD(ROW()-1,10)+1)</f>
        <v>9</v>
      </c>
    </row>
    <row r="80" spans="2:3" x14ac:dyDescent="0.3">
      <c r="B80" cm="1">
        <f t="array" ref="B80">INDEX($A$1:$A$10,INT((ROW()-1)/10)+1)</f>
        <v>8</v>
      </c>
      <c r="C80" cm="1">
        <f t="array" ref="C80">INDEX($A$1:$A$10,MOD(ROW()-1,10)+1)</f>
        <v>10</v>
      </c>
    </row>
    <row r="81" spans="2:3" x14ac:dyDescent="0.3">
      <c r="B81" cm="1">
        <f t="array" ref="B81">INDEX($A$1:$A$10,INT((ROW()-1)/10)+1)</f>
        <v>9</v>
      </c>
      <c r="C81" cm="1">
        <f t="array" ref="C81">INDEX($A$1:$A$10,MOD(ROW()-1,10)+1)</f>
        <v>1</v>
      </c>
    </row>
    <row r="82" spans="2:3" x14ac:dyDescent="0.3">
      <c r="B82" cm="1">
        <f t="array" ref="B82">INDEX($A$1:$A$10,INT((ROW()-1)/10)+1)</f>
        <v>9</v>
      </c>
      <c r="C82" cm="1">
        <f t="array" ref="C82">INDEX($A$1:$A$10,MOD(ROW()-1,10)+1)</f>
        <v>2</v>
      </c>
    </row>
    <row r="83" spans="2:3" x14ac:dyDescent="0.3">
      <c r="B83" cm="1">
        <f t="array" ref="B83">INDEX($A$1:$A$10,INT((ROW()-1)/10)+1)</f>
        <v>9</v>
      </c>
      <c r="C83" cm="1">
        <f t="array" ref="C83">INDEX($A$1:$A$10,MOD(ROW()-1,10)+1)</f>
        <v>3</v>
      </c>
    </row>
    <row r="84" spans="2:3" x14ac:dyDescent="0.3">
      <c r="B84" cm="1">
        <f t="array" ref="B84">INDEX($A$1:$A$10,INT((ROW()-1)/10)+1)</f>
        <v>9</v>
      </c>
      <c r="C84" cm="1">
        <f t="array" ref="C84">INDEX($A$1:$A$10,MOD(ROW()-1,10)+1)</f>
        <v>4</v>
      </c>
    </row>
    <row r="85" spans="2:3" x14ac:dyDescent="0.3">
      <c r="B85" cm="1">
        <f t="array" ref="B85">INDEX($A$1:$A$10,INT((ROW()-1)/10)+1)</f>
        <v>9</v>
      </c>
      <c r="C85" cm="1">
        <f t="array" ref="C85">INDEX($A$1:$A$10,MOD(ROW()-1,10)+1)</f>
        <v>5</v>
      </c>
    </row>
    <row r="86" spans="2:3" x14ac:dyDescent="0.3">
      <c r="B86" cm="1">
        <f t="array" ref="B86">INDEX($A$1:$A$10,INT((ROW()-1)/10)+1)</f>
        <v>9</v>
      </c>
      <c r="C86" cm="1">
        <f t="array" ref="C86">INDEX($A$1:$A$10,MOD(ROW()-1,10)+1)</f>
        <v>6</v>
      </c>
    </row>
    <row r="87" spans="2:3" x14ac:dyDescent="0.3">
      <c r="B87" cm="1">
        <f t="array" ref="B87">INDEX($A$1:$A$10,INT((ROW()-1)/10)+1)</f>
        <v>9</v>
      </c>
      <c r="C87" cm="1">
        <f t="array" ref="C87">INDEX($A$1:$A$10,MOD(ROW()-1,10)+1)</f>
        <v>7</v>
      </c>
    </row>
    <row r="88" spans="2:3" x14ac:dyDescent="0.3">
      <c r="B88" cm="1">
        <f t="array" ref="B88">INDEX($A$1:$A$10,INT((ROW()-1)/10)+1)</f>
        <v>9</v>
      </c>
      <c r="C88" cm="1">
        <f t="array" ref="C88">INDEX($A$1:$A$10,MOD(ROW()-1,10)+1)</f>
        <v>8</v>
      </c>
    </row>
    <row r="89" spans="2:3" x14ac:dyDescent="0.3">
      <c r="B89" cm="1">
        <f t="array" ref="B89">INDEX($A$1:$A$10,INT((ROW()-1)/10)+1)</f>
        <v>9</v>
      </c>
      <c r="C89" cm="1">
        <f t="array" ref="C89">INDEX($A$1:$A$10,MOD(ROW()-1,10)+1)</f>
        <v>9</v>
      </c>
    </row>
    <row r="90" spans="2:3" x14ac:dyDescent="0.3">
      <c r="B90" cm="1">
        <f t="array" ref="B90">INDEX($A$1:$A$10,INT((ROW()-1)/10)+1)</f>
        <v>9</v>
      </c>
      <c r="C90" cm="1">
        <f t="array" ref="C90">INDEX($A$1:$A$10,MOD(ROW()-1,10)+1)</f>
        <v>10</v>
      </c>
    </row>
    <row r="91" spans="2:3" x14ac:dyDescent="0.3">
      <c r="B91" cm="1">
        <f t="array" ref="B91">INDEX($A$1:$A$10,INT((ROW()-1)/10)+1)</f>
        <v>10</v>
      </c>
      <c r="C91" cm="1">
        <f t="array" ref="C91">INDEX($A$1:$A$10,MOD(ROW()-1,10)+1)</f>
        <v>1</v>
      </c>
    </row>
    <row r="92" spans="2:3" x14ac:dyDescent="0.3">
      <c r="B92" cm="1">
        <f t="array" ref="B92">INDEX($A$1:$A$10,INT((ROW()-1)/10)+1)</f>
        <v>10</v>
      </c>
      <c r="C92" cm="1">
        <f t="array" ref="C92">INDEX($A$1:$A$10,MOD(ROW()-1,10)+1)</f>
        <v>2</v>
      </c>
    </row>
    <row r="93" spans="2:3" x14ac:dyDescent="0.3">
      <c r="B93" cm="1">
        <f t="array" ref="B93">INDEX($A$1:$A$10,INT((ROW()-1)/10)+1)</f>
        <v>10</v>
      </c>
      <c r="C93" cm="1">
        <f t="array" ref="C93">INDEX($A$1:$A$10,MOD(ROW()-1,10)+1)</f>
        <v>3</v>
      </c>
    </row>
    <row r="94" spans="2:3" x14ac:dyDescent="0.3">
      <c r="B94" cm="1">
        <f t="array" ref="B94">INDEX($A$1:$A$10,INT((ROW()-1)/10)+1)</f>
        <v>10</v>
      </c>
      <c r="C94" cm="1">
        <f t="array" ref="C94">INDEX($A$1:$A$10,MOD(ROW()-1,10)+1)</f>
        <v>4</v>
      </c>
    </row>
    <row r="95" spans="2:3" x14ac:dyDescent="0.3">
      <c r="B95" cm="1">
        <f t="array" ref="B95">INDEX($A$1:$A$10,INT((ROW()-1)/10)+1)</f>
        <v>10</v>
      </c>
      <c r="C95" cm="1">
        <f t="array" ref="C95">INDEX($A$1:$A$10,MOD(ROW()-1,10)+1)</f>
        <v>5</v>
      </c>
    </row>
    <row r="96" spans="2:3" x14ac:dyDescent="0.3">
      <c r="B96" cm="1">
        <f t="array" ref="B96">INDEX($A$1:$A$10,INT((ROW()-1)/10)+1)</f>
        <v>10</v>
      </c>
      <c r="C96" cm="1">
        <f t="array" ref="C96">INDEX($A$1:$A$10,MOD(ROW()-1,10)+1)</f>
        <v>6</v>
      </c>
    </row>
    <row r="97" spans="2:3" x14ac:dyDescent="0.3">
      <c r="B97" cm="1">
        <f t="array" ref="B97">INDEX($A$1:$A$10,INT((ROW()-1)/10)+1)</f>
        <v>10</v>
      </c>
      <c r="C97" cm="1">
        <f t="array" ref="C97">INDEX($A$1:$A$10,MOD(ROW()-1,10)+1)</f>
        <v>7</v>
      </c>
    </row>
    <row r="98" spans="2:3" x14ac:dyDescent="0.3">
      <c r="B98" cm="1">
        <f t="array" ref="B98">INDEX($A$1:$A$10,INT((ROW()-1)/10)+1)</f>
        <v>10</v>
      </c>
      <c r="C98" cm="1">
        <f t="array" ref="C98">INDEX($A$1:$A$10,MOD(ROW()-1,10)+1)</f>
        <v>8</v>
      </c>
    </row>
    <row r="99" spans="2:3" x14ac:dyDescent="0.3">
      <c r="B99" cm="1">
        <f t="array" ref="B99">INDEX($A$1:$A$10,INT((ROW()-1)/10)+1)</f>
        <v>10</v>
      </c>
      <c r="C99" cm="1">
        <f t="array" ref="C99">INDEX($A$1:$A$10,MOD(ROW()-1,10)+1)</f>
        <v>9</v>
      </c>
    </row>
    <row r="100" spans="2:3" x14ac:dyDescent="0.3">
      <c r="B100" cm="1">
        <f t="array" ref="B100">INDEX($A$1:$A$10,INT((ROW()-1)/10)+1)</f>
        <v>10</v>
      </c>
      <c r="C100" cm="1">
        <f t="array" ref="C100">INDEX($A$1:$A$10,MOD(ROW()-1,10)+1)</f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2139-506B-48EA-A694-965EC36F1002}">
  <dimension ref="C1:T99"/>
  <sheetViews>
    <sheetView workbookViewId="0"/>
  </sheetViews>
  <sheetFormatPr defaultRowHeight="14.4" x14ac:dyDescent="0.3"/>
  <sheetData>
    <row r="1" spans="3:19" x14ac:dyDescent="0.3">
      <c r="J1" t="s">
        <v>216</v>
      </c>
      <c r="P1" t="s">
        <v>217</v>
      </c>
    </row>
    <row r="2" spans="3:19" x14ac:dyDescent="0.3">
      <c r="J2" t="s">
        <v>218</v>
      </c>
      <c r="P2" t="s">
        <v>219</v>
      </c>
      <c r="Q2" t="s">
        <v>220</v>
      </c>
      <c r="R2" t="s">
        <v>221</v>
      </c>
    </row>
    <row r="3" spans="3:19" x14ac:dyDescent="0.3">
      <c r="C3" t="s">
        <v>186</v>
      </c>
      <c r="J3" t="s">
        <v>222</v>
      </c>
      <c r="Q3" t="s">
        <v>223</v>
      </c>
    </row>
    <row r="4" spans="3:19" x14ac:dyDescent="0.3">
      <c r="C4" t="s">
        <v>187</v>
      </c>
      <c r="J4" t="s">
        <v>224</v>
      </c>
      <c r="Q4" t="s">
        <v>225</v>
      </c>
    </row>
    <row r="5" spans="3:19" x14ac:dyDescent="0.3">
      <c r="C5" t="s">
        <v>188</v>
      </c>
      <c r="J5" t="s">
        <v>226</v>
      </c>
      <c r="Q5" t="s">
        <v>227</v>
      </c>
    </row>
    <row r="6" spans="3:19" x14ac:dyDescent="0.3">
      <c r="C6" t="s">
        <v>189</v>
      </c>
      <c r="J6" t="s">
        <v>228</v>
      </c>
      <c r="Q6" t="s">
        <v>229</v>
      </c>
    </row>
    <row r="7" spans="3:19" x14ac:dyDescent="0.3">
      <c r="C7" t="s">
        <v>190</v>
      </c>
      <c r="J7" t="s">
        <v>230</v>
      </c>
      <c r="Q7" t="s">
        <v>226</v>
      </c>
    </row>
    <row r="8" spans="3:19" x14ac:dyDescent="0.3">
      <c r="C8" t="s">
        <v>191</v>
      </c>
      <c r="Q8" t="s">
        <v>231</v>
      </c>
    </row>
    <row r="9" spans="3:19" x14ac:dyDescent="0.3">
      <c r="C9" t="s">
        <v>192</v>
      </c>
      <c r="J9" t="s">
        <v>232</v>
      </c>
      <c r="Q9" t="s">
        <v>233</v>
      </c>
    </row>
    <row r="10" spans="3:19" x14ac:dyDescent="0.3">
      <c r="C10" t="s">
        <v>193</v>
      </c>
      <c r="P10" t="s">
        <v>230</v>
      </c>
    </row>
    <row r="11" spans="3:19" x14ac:dyDescent="0.3">
      <c r="C11" t="s">
        <v>194</v>
      </c>
    </row>
    <row r="12" spans="3:19" x14ac:dyDescent="0.3">
      <c r="C12" t="s">
        <v>195</v>
      </c>
      <c r="J12" t="s">
        <v>234</v>
      </c>
      <c r="P12" t="s">
        <v>235</v>
      </c>
      <c r="Q12" t="s">
        <v>236</v>
      </c>
    </row>
    <row r="13" spans="3:19" x14ac:dyDescent="0.3">
      <c r="C13" t="s">
        <v>196</v>
      </c>
      <c r="J13" t="s">
        <v>237</v>
      </c>
    </row>
    <row r="14" spans="3:19" x14ac:dyDescent="0.3">
      <c r="C14" t="s">
        <v>197</v>
      </c>
    </row>
    <row r="15" spans="3:19" x14ac:dyDescent="0.3">
      <c r="C15" t="s">
        <v>198</v>
      </c>
      <c r="P15" t="s">
        <v>238</v>
      </c>
      <c r="Q15" t="s">
        <v>220</v>
      </c>
      <c r="R15" t="s">
        <v>239</v>
      </c>
      <c r="S15" t="s">
        <v>240</v>
      </c>
    </row>
    <row r="16" spans="3:19" x14ac:dyDescent="0.3">
      <c r="C16" t="s">
        <v>199</v>
      </c>
    </row>
    <row r="17" spans="3:20" x14ac:dyDescent="0.3">
      <c r="C17" t="s">
        <v>200</v>
      </c>
      <c r="J17" t="s">
        <v>241</v>
      </c>
      <c r="P17" t="s">
        <v>242</v>
      </c>
      <c r="Q17" t="s">
        <v>220</v>
      </c>
      <c r="R17">
        <v>0.35</v>
      </c>
    </row>
    <row r="18" spans="3:20" x14ac:dyDescent="0.3">
      <c r="C18" t="s">
        <v>201</v>
      </c>
      <c r="J18" t="s">
        <v>243</v>
      </c>
      <c r="P18" t="s">
        <v>244</v>
      </c>
      <c r="Q18" t="s">
        <v>220</v>
      </c>
      <c r="R18" t="s">
        <v>245</v>
      </c>
      <c r="S18" t="s">
        <v>246</v>
      </c>
      <c r="T18" t="s">
        <v>247</v>
      </c>
    </row>
    <row r="19" spans="3:20" x14ac:dyDescent="0.3">
      <c r="C19" t="s">
        <v>202</v>
      </c>
    </row>
    <row r="20" spans="3:20" x14ac:dyDescent="0.3">
      <c r="C20" t="s">
        <v>203</v>
      </c>
    </row>
    <row r="21" spans="3:20" x14ac:dyDescent="0.3">
      <c r="C21" t="s">
        <v>204</v>
      </c>
      <c r="P21" t="s">
        <v>248</v>
      </c>
    </row>
    <row r="22" spans="3:20" x14ac:dyDescent="0.3">
      <c r="C22" t="s">
        <v>205</v>
      </c>
      <c r="J22" t="s">
        <v>249</v>
      </c>
      <c r="P22" t="s">
        <v>250</v>
      </c>
    </row>
    <row r="23" spans="3:20" x14ac:dyDescent="0.3">
      <c r="C23" t="s">
        <v>206</v>
      </c>
      <c r="P23" t="s">
        <v>251</v>
      </c>
    </row>
    <row r="24" spans="3:20" x14ac:dyDescent="0.3">
      <c r="C24" t="s">
        <v>207</v>
      </c>
    </row>
    <row r="25" spans="3:20" x14ac:dyDescent="0.3">
      <c r="C25" t="s">
        <v>208</v>
      </c>
      <c r="J25" t="s">
        <v>252</v>
      </c>
      <c r="P25" t="s">
        <v>253</v>
      </c>
    </row>
    <row r="26" spans="3:20" x14ac:dyDescent="0.3">
      <c r="C26" t="s">
        <v>209</v>
      </c>
      <c r="P26" t="s">
        <v>254</v>
      </c>
    </row>
    <row r="27" spans="3:20" x14ac:dyDescent="0.3">
      <c r="C27" t="s">
        <v>210</v>
      </c>
      <c r="J27" t="s">
        <v>255</v>
      </c>
    </row>
    <row r="28" spans="3:20" x14ac:dyDescent="0.3">
      <c r="C28" t="s">
        <v>211</v>
      </c>
      <c r="P28" t="s">
        <v>256</v>
      </c>
    </row>
    <row r="29" spans="3:20" x14ac:dyDescent="0.3">
      <c r="C29" t="s">
        <v>212</v>
      </c>
      <c r="J29" t="s">
        <v>257</v>
      </c>
      <c r="P29" t="s">
        <v>258</v>
      </c>
    </row>
    <row r="30" spans="3:20" x14ac:dyDescent="0.3">
      <c r="C30" t="s">
        <v>213</v>
      </c>
      <c r="P30" t="s">
        <v>259</v>
      </c>
    </row>
    <row r="31" spans="3:20" x14ac:dyDescent="0.3">
      <c r="C31" t="s">
        <v>214</v>
      </c>
    </row>
    <row r="32" spans="3:20" x14ac:dyDescent="0.3">
      <c r="C32" t="s">
        <v>215</v>
      </c>
      <c r="P32" t="s">
        <v>260</v>
      </c>
    </row>
    <row r="33" spans="10:16" x14ac:dyDescent="0.3">
      <c r="J33" t="s">
        <v>260</v>
      </c>
      <c r="P33" t="s">
        <v>261</v>
      </c>
    </row>
    <row r="34" spans="10:16" x14ac:dyDescent="0.3">
      <c r="P34" t="s">
        <v>262</v>
      </c>
    </row>
    <row r="35" spans="10:16" x14ac:dyDescent="0.3">
      <c r="J35" t="s">
        <v>263</v>
      </c>
      <c r="P35" t="s">
        <v>264</v>
      </c>
    </row>
    <row r="36" spans="10:16" x14ac:dyDescent="0.3">
      <c r="J36" t="s">
        <v>265</v>
      </c>
      <c r="P36" t="s">
        <v>266</v>
      </c>
    </row>
    <row r="37" spans="10:16" x14ac:dyDescent="0.3">
      <c r="J37" t="s">
        <v>267</v>
      </c>
      <c r="P37" t="s">
        <v>268</v>
      </c>
    </row>
    <row r="38" spans="10:16" x14ac:dyDescent="0.3">
      <c r="J38" t="s">
        <v>269</v>
      </c>
      <c r="P38" t="s">
        <v>270</v>
      </c>
    </row>
    <row r="39" spans="10:16" x14ac:dyDescent="0.3">
      <c r="J39" t="s">
        <v>271</v>
      </c>
      <c r="P39" t="s">
        <v>272</v>
      </c>
    </row>
    <row r="40" spans="10:16" x14ac:dyDescent="0.3">
      <c r="J40" t="s">
        <v>273</v>
      </c>
      <c r="P40" t="s">
        <v>274</v>
      </c>
    </row>
    <row r="41" spans="10:16" x14ac:dyDescent="0.3">
      <c r="J41" t="s">
        <v>275</v>
      </c>
      <c r="P41" t="s">
        <v>276</v>
      </c>
    </row>
    <row r="42" spans="10:16" x14ac:dyDescent="0.3">
      <c r="J42" t="s">
        <v>277</v>
      </c>
      <c r="P42" t="s">
        <v>278</v>
      </c>
    </row>
    <row r="43" spans="10:16" x14ac:dyDescent="0.3">
      <c r="J43" t="s">
        <v>279</v>
      </c>
      <c r="P43" t="s">
        <v>280</v>
      </c>
    </row>
    <row r="44" spans="10:16" x14ac:dyDescent="0.3">
      <c r="J44" t="s">
        <v>281</v>
      </c>
      <c r="P44" t="s">
        <v>282</v>
      </c>
    </row>
    <row r="45" spans="10:16" x14ac:dyDescent="0.3">
      <c r="J45" t="s">
        <v>283</v>
      </c>
      <c r="P45" t="s">
        <v>284</v>
      </c>
    </row>
    <row r="46" spans="10:16" x14ac:dyDescent="0.3">
      <c r="J46" t="s">
        <v>285</v>
      </c>
      <c r="P46" t="s">
        <v>286</v>
      </c>
    </row>
    <row r="47" spans="10:16" x14ac:dyDescent="0.3">
      <c r="J47" t="s">
        <v>287</v>
      </c>
      <c r="P47" t="s">
        <v>288</v>
      </c>
    </row>
    <row r="48" spans="10:16" x14ac:dyDescent="0.3">
      <c r="J48" t="s">
        <v>289</v>
      </c>
    </row>
    <row r="49" spans="10:18" x14ac:dyDescent="0.3">
      <c r="J49" t="s">
        <v>290</v>
      </c>
    </row>
    <row r="52" spans="10:18" x14ac:dyDescent="0.3">
      <c r="J52" t="s">
        <v>291</v>
      </c>
      <c r="P52" t="s">
        <v>292</v>
      </c>
      <c r="Q52" t="s">
        <v>220</v>
      </c>
      <c r="R52" t="s">
        <v>293</v>
      </c>
    </row>
    <row r="53" spans="10:18" x14ac:dyDescent="0.3">
      <c r="J53" t="s">
        <v>294</v>
      </c>
      <c r="Q53" t="s">
        <v>295</v>
      </c>
    </row>
    <row r="54" spans="10:18" x14ac:dyDescent="0.3">
      <c r="J54" t="s">
        <v>296</v>
      </c>
      <c r="Q54" t="s">
        <v>297</v>
      </c>
    </row>
    <row r="55" spans="10:18" x14ac:dyDescent="0.3">
      <c r="J55" t="s">
        <v>298</v>
      </c>
      <c r="Q55" t="s">
        <v>299</v>
      </c>
    </row>
    <row r="56" spans="10:18" x14ac:dyDescent="0.3">
      <c r="J56" t="s">
        <v>300</v>
      </c>
      <c r="Q56" t="s">
        <v>301</v>
      </c>
    </row>
    <row r="57" spans="10:18" x14ac:dyDescent="0.3">
      <c r="J57" t="s">
        <v>302</v>
      </c>
      <c r="Q57" t="s">
        <v>303</v>
      </c>
    </row>
    <row r="58" spans="10:18" x14ac:dyDescent="0.3">
      <c r="J58" t="s">
        <v>304</v>
      </c>
      <c r="Q58" t="s">
        <v>305</v>
      </c>
    </row>
    <row r="59" spans="10:18" x14ac:dyDescent="0.3">
      <c r="J59" t="s">
        <v>306</v>
      </c>
      <c r="Q59" t="s">
        <v>307</v>
      </c>
    </row>
    <row r="60" spans="10:18" x14ac:dyDescent="0.3">
      <c r="J60" t="s">
        <v>230</v>
      </c>
      <c r="Q60" t="s">
        <v>228</v>
      </c>
    </row>
    <row r="61" spans="10:18" x14ac:dyDescent="0.3">
      <c r="P61" t="s">
        <v>230</v>
      </c>
    </row>
    <row r="62" spans="10:18" x14ac:dyDescent="0.3">
      <c r="J62" t="s">
        <v>308</v>
      </c>
    </row>
    <row r="63" spans="10:18" x14ac:dyDescent="0.3">
      <c r="P63" t="s">
        <v>309</v>
      </c>
      <c r="Q63" t="s">
        <v>236</v>
      </c>
    </row>
    <row r="65" spans="10:19" x14ac:dyDescent="0.3">
      <c r="J65" t="s">
        <v>310</v>
      </c>
      <c r="P65" t="s">
        <v>244</v>
      </c>
      <c r="Q65" t="s">
        <v>220</v>
      </c>
      <c r="R65" t="s">
        <v>311</v>
      </c>
    </row>
    <row r="66" spans="10:19" x14ac:dyDescent="0.3">
      <c r="J66" t="s">
        <v>312</v>
      </c>
      <c r="P66" t="s">
        <v>238</v>
      </c>
      <c r="Q66" t="s">
        <v>220</v>
      </c>
      <c r="R66" t="s">
        <v>313</v>
      </c>
    </row>
    <row r="68" spans="10:19" x14ac:dyDescent="0.3">
      <c r="J68" t="s">
        <v>241</v>
      </c>
      <c r="P68" t="s">
        <v>314</v>
      </c>
      <c r="Q68" t="s">
        <v>315</v>
      </c>
      <c r="R68" t="s">
        <v>316</v>
      </c>
    </row>
    <row r="69" spans="10:19" x14ac:dyDescent="0.3">
      <c r="J69" t="s">
        <v>243</v>
      </c>
      <c r="P69" t="s">
        <v>317</v>
      </c>
      <c r="Q69" t="s">
        <v>318</v>
      </c>
      <c r="R69" t="s">
        <v>319</v>
      </c>
      <c r="S69" t="s">
        <v>320</v>
      </c>
    </row>
    <row r="71" spans="10:19" x14ac:dyDescent="0.3">
      <c r="J71" t="s">
        <v>249</v>
      </c>
      <c r="P71" t="s">
        <v>321</v>
      </c>
      <c r="Q71" t="s">
        <v>316</v>
      </c>
    </row>
    <row r="73" spans="10:19" x14ac:dyDescent="0.3">
      <c r="J73" t="s">
        <v>322</v>
      </c>
      <c r="P73" t="s">
        <v>323</v>
      </c>
    </row>
    <row r="74" spans="10:19" x14ac:dyDescent="0.3">
      <c r="J74" t="s">
        <v>324</v>
      </c>
      <c r="P74" t="s">
        <v>325</v>
      </c>
    </row>
    <row r="75" spans="10:19" x14ac:dyDescent="0.3">
      <c r="J75" t="s">
        <v>251</v>
      </c>
      <c r="P75" t="s">
        <v>251</v>
      </c>
    </row>
    <row r="77" spans="10:19" x14ac:dyDescent="0.3">
      <c r="J77" t="s">
        <v>326</v>
      </c>
      <c r="P77" t="s">
        <v>327</v>
      </c>
    </row>
    <row r="78" spans="10:19" x14ac:dyDescent="0.3">
      <c r="J78" t="s">
        <v>328</v>
      </c>
      <c r="P78" t="s">
        <v>329</v>
      </c>
    </row>
    <row r="80" spans="10:19" x14ac:dyDescent="0.3">
      <c r="J80" t="s">
        <v>330</v>
      </c>
      <c r="P80" t="s">
        <v>330</v>
      </c>
    </row>
    <row r="81" spans="10:16" x14ac:dyDescent="0.3">
      <c r="J81" t="s">
        <v>331</v>
      </c>
      <c r="P81" t="s">
        <v>332</v>
      </c>
    </row>
    <row r="82" spans="10:16" x14ac:dyDescent="0.3">
      <c r="J82" t="s">
        <v>333</v>
      </c>
      <c r="P82" t="s">
        <v>333</v>
      </c>
    </row>
    <row r="84" spans="10:16" x14ac:dyDescent="0.3">
      <c r="J84" t="s">
        <v>260</v>
      </c>
      <c r="P84" t="s">
        <v>260</v>
      </c>
    </row>
    <row r="85" spans="10:16" x14ac:dyDescent="0.3">
      <c r="J85" t="s">
        <v>334</v>
      </c>
      <c r="P85" t="s">
        <v>335</v>
      </c>
    </row>
    <row r="86" spans="10:16" x14ac:dyDescent="0.3">
      <c r="J86" t="s">
        <v>336</v>
      </c>
      <c r="P86" t="s">
        <v>337</v>
      </c>
    </row>
    <row r="87" spans="10:16" x14ac:dyDescent="0.3">
      <c r="J87" t="s">
        <v>338</v>
      </c>
      <c r="P87" t="s">
        <v>339</v>
      </c>
    </row>
    <row r="88" spans="10:16" x14ac:dyDescent="0.3">
      <c r="J88" t="s">
        <v>340</v>
      </c>
      <c r="P88" t="s">
        <v>341</v>
      </c>
    </row>
    <row r="89" spans="10:16" x14ac:dyDescent="0.3">
      <c r="J89" t="s">
        <v>342</v>
      </c>
      <c r="P89" t="s">
        <v>343</v>
      </c>
    </row>
    <row r="90" spans="10:16" x14ac:dyDescent="0.3">
      <c r="J90" t="s">
        <v>344</v>
      </c>
      <c r="P90" t="s">
        <v>345</v>
      </c>
    </row>
    <row r="91" spans="10:16" x14ac:dyDescent="0.3">
      <c r="J91" t="s">
        <v>346</v>
      </c>
      <c r="P91" t="s">
        <v>347</v>
      </c>
    </row>
    <row r="92" spans="10:16" x14ac:dyDescent="0.3">
      <c r="J92" t="s">
        <v>348</v>
      </c>
      <c r="P92" t="s">
        <v>349</v>
      </c>
    </row>
    <row r="93" spans="10:16" x14ac:dyDescent="0.3">
      <c r="J93" t="s">
        <v>350</v>
      </c>
      <c r="P93" t="s">
        <v>351</v>
      </c>
    </row>
    <row r="94" spans="10:16" x14ac:dyDescent="0.3">
      <c r="J94" t="s">
        <v>352</v>
      </c>
      <c r="P94" t="s">
        <v>353</v>
      </c>
    </row>
    <row r="95" spans="10:16" x14ac:dyDescent="0.3">
      <c r="J95" t="s">
        <v>354</v>
      </c>
      <c r="P95" t="s">
        <v>355</v>
      </c>
    </row>
    <row r="96" spans="10:16" x14ac:dyDescent="0.3">
      <c r="J96" t="s">
        <v>356</v>
      </c>
      <c r="P96" t="s">
        <v>357</v>
      </c>
    </row>
    <row r="97" spans="10:16" x14ac:dyDescent="0.3">
      <c r="J97" t="s">
        <v>358</v>
      </c>
      <c r="P97" t="s">
        <v>359</v>
      </c>
    </row>
    <row r="98" spans="10:16" x14ac:dyDescent="0.3">
      <c r="J98" t="s">
        <v>360</v>
      </c>
      <c r="P98" t="s">
        <v>361</v>
      </c>
    </row>
    <row r="99" spans="10:16" x14ac:dyDescent="0.3">
      <c r="J99" t="s">
        <v>362</v>
      </c>
      <c r="P99" t="s">
        <v>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75AD-3220-4D20-A060-1A2FE591E614}">
  <dimension ref="C1:R54"/>
  <sheetViews>
    <sheetView workbookViewId="0">
      <selection activeCell="P17" sqref="P17:P25"/>
    </sheetView>
  </sheetViews>
  <sheetFormatPr defaultRowHeight="14.4" x14ac:dyDescent="0.3"/>
  <cols>
    <col min="9" max="9" width="12.88671875" bestFit="1" customWidth="1"/>
    <col min="12" max="12" width="14.88671875" bestFit="1" customWidth="1"/>
  </cols>
  <sheetData>
    <row r="1" spans="3:18" x14ac:dyDescent="0.3">
      <c r="H1" s="10" t="s">
        <v>412</v>
      </c>
      <c r="I1" t="s">
        <v>101</v>
      </c>
      <c r="J1" s="10" t="s">
        <v>412</v>
      </c>
      <c r="L1" t="str">
        <f>_xlfn.CONCAT(H1:K1)</f>
        <v>"Shanghai"</v>
      </c>
      <c r="M1" t="s">
        <v>413</v>
      </c>
    </row>
    <row r="2" spans="3:18" x14ac:dyDescent="0.3">
      <c r="H2" s="10" t="s">
        <v>412</v>
      </c>
      <c r="I2" t="s">
        <v>112</v>
      </c>
      <c r="J2" s="10" t="s">
        <v>412</v>
      </c>
      <c r="L2" t="str">
        <f t="shared" ref="L2:L54" si="0">_xlfn.CONCAT(H2:K2)</f>
        <v>"Ningbo"</v>
      </c>
    </row>
    <row r="3" spans="3:18" x14ac:dyDescent="0.3">
      <c r="H3" s="10" t="s">
        <v>412</v>
      </c>
      <c r="I3" t="s">
        <v>119</v>
      </c>
      <c r="J3" s="10" t="s">
        <v>412</v>
      </c>
      <c r="L3" t="str">
        <f t="shared" si="0"/>
        <v>"Busan"</v>
      </c>
    </row>
    <row r="4" spans="3:18" x14ac:dyDescent="0.3">
      <c r="H4" s="10" t="s">
        <v>412</v>
      </c>
      <c r="I4" t="s">
        <v>364</v>
      </c>
      <c r="J4" s="10" t="s">
        <v>412</v>
      </c>
      <c r="L4" t="str">
        <f t="shared" si="0"/>
        <v>"Yokohama"</v>
      </c>
      <c r="M4" t="s">
        <v>413</v>
      </c>
    </row>
    <row r="5" spans="3:18" x14ac:dyDescent="0.3">
      <c r="H5" s="10" t="s">
        <v>412</v>
      </c>
      <c r="I5" t="s">
        <v>365</v>
      </c>
      <c r="J5" s="10" t="s">
        <v>412</v>
      </c>
      <c r="L5" t="str">
        <f t="shared" si="0"/>
        <v>"Kaohsiung"</v>
      </c>
      <c r="N5" s="10" t="s">
        <v>412</v>
      </c>
      <c r="O5" t="s">
        <v>53</v>
      </c>
      <c r="P5" s="10" t="s">
        <v>412</v>
      </c>
      <c r="Q5" t="str">
        <f>_xlfn.CONCAT(N5:P5)</f>
        <v>"MSC"</v>
      </c>
      <c r="R5" t="str">
        <f>_xlfn.TEXTJOIN(",",,Q5:Q10)</f>
        <v>"MSC","Maersk","COSCO","CMA CGM","Hapag-Lloyd","Evergreen"</v>
      </c>
    </row>
    <row r="6" spans="3:18" x14ac:dyDescent="0.3">
      <c r="H6" s="10" t="s">
        <v>412</v>
      </c>
      <c r="I6" t="s">
        <v>366</v>
      </c>
      <c r="J6" s="10" t="s">
        <v>412</v>
      </c>
      <c r="L6" t="str">
        <f t="shared" si="0"/>
        <v>"Yantian"</v>
      </c>
      <c r="N6" s="10" t="s">
        <v>412</v>
      </c>
      <c r="O6" t="s">
        <v>58</v>
      </c>
      <c r="P6" s="10" t="s">
        <v>412</v>
      </c>
      <c r="Q6" t="str">
        <f t="shared" ref="Q6:Q10" si="1">_xlfn.CONCAT(N6:P6)</f>
        <v>"Maersk"</v>
      </c>
    </row>
    <row r="7" spans="3:18" x14ac:dyDescent="0.3">
      <c r="C7" t="s">
        <v>414</v>
      </c>
      <c r="H7" s="10" t="s">
        <v>412</v>
      </c>
      <c r="I7" t="s">
        <v>367</v>
      </c>
      <c r="J7" s="10" t="s">
        <v>412</v>
      </c>
      <c r="L7" t="str">
        <f t="shared" si="0"/>
        <v>"Shekou"</v>
      </c>
      <c r="N7" s="10" t="s">
        <v>412</v>
      </c>
      <c r="O7" t="s">
        <v>62</v>
      </c>
      <c r="P7" s="10" t="s">
        <v>412</v>
      </c>
      <c r="Q7" t="str">
        <f t="shared" si="1"/>
        <v>"COSCO"</v>
      </c>
    </row>
    <row r="8" spans="3:18" x14ac:dyDescent="0.3">
      <c r="C8" t="s">
        <v>415</v>
      </c>
      <c r="H8" s="10" t="s">
        <v>412</v>
      </c>
      <c r="I8" t="s">
        <v>368</v>
      </c>
      <c r="J8" s="10" t="s">
        <v>412</v>
      </c>
      <c r="L8" t="str">
        <f t="shared" si="0"/>
        <v>"Xiamen"</v>
      </c>
      <c r="N8" s="10" t="s">
        <v>412</v>
      </c>
      <c r="O8" t="s">
        <v>71</v>
      </c>
      <c r="P8" s="10" t="s">
        <v>412</v>
      </c>
      <c r="Q8" t="str">
        <f t="shared" si="1"/>
        <v>"CMA CGM"</v>
      </c>
    </row>
    <row r="9" spans="3:18" x14ac:dyDescent="0.3">
      <c r="C9" t="s">
        <v>416</v>
      </c>
      <c r="H9" s="10" t="s">
        <v>412</v>
      </c>
      <c r="I9" t="s">
        <v>369</v>
      </c>
      <c r="J9" s="10" t="s">
        <v>412</v>
      </c>
      <c r="L9" t="str">
        <f t="shared" si="0"/>
        <v>"Qingdao"</v>
      </c>
      <c r="N9" s="10" t="s">
        <v>412</v>
      </c>
      <c r="O9" t="s">
        <v>74</v>
      </c>
      <c r="P9" s="10" t="s">
        <v>412</v>
      </c>
      <c r="Q9" t="str">
        <f t="shared" si="1"/>
        <v>"Hapag-Lloyd"</v>
      </c>
    </row>
    <row r="10" spans="3:18" x14ac:dyDescent="0.3">
      <c r="C10" t="s">
        <v>417</v>
      </c>
      <c r="H10" s="10" t="s">
        <v>412</v>
      </c>
      <c r="I10" t="s">
        <v>370</v>
      </c>
      <c r="J10" s="10" t="s">
        <v>412</v>
      </c>
      <c r="L10" t="str">
        <f t="shared" si="0"/>
        <v>"Tianjin"</v>
      </c>
      <c r="N10" s="10" t="s">
        <v>412</v>
      </c>
      <c r="O10" t="s">
        <v>79</v>
      </c>
      <c r="P10" s="10" t="s">
        <v>412</v>
      </c>
      <c r="Q10" t="str">
        <f t="shared" si="1"/>
        <v>"Evergreen"</v>
      </c>
    </row>
    <row r="11" spans="3:18" x14ac:dyDescent="0.3">
      <c r="C11" t="s">
        <v>418</v>
      </c>
      <c r="H11" s="10" t="s">
        <v>412</v>
      </c>
      <c r="I11" t="s">
        <v>371</v>
      </c>
      <c r="J11" s="10" t="s">
        <v>412</v>
      </c>
      <c r="L11" t="str">
        <f t="shared" si="0"/>
        <v>"Port Klang"</v>
      </c>
    </row>
    <row r="12" spans="3:18" x14ac:dyDescent="0.3">
      <c r="C12" t="s">
        <v>419</v>
      </c>
      <c r="H12" s="10" t="s">
        <v>412</v>
      </c>
      <c r="I12" t="s">
        <v>372</v>
      </c>
      <c r="J12" s="10" t="s">
        <v>412</v>
      </c>
      <c r="L12" t="str">
        <f t="shared" si="0"/>
        <v>"Singapore"</v>
      </c>
    </row>
    <row r="13" spans="3:18" x14ac:dyDescent="0.3">
      <c r="H13" s="10" t="s">
        <v>412</v>
      </c>
      <c r="I13" t="s">
        <v>373</v>
      </c>
      <c r="J13" s="10" t="s">
        <v>412</v>
      </c>
      <c r="L13" t="str">
        <f t="shared" si="0"/>
        <v>"Ho Chi Minh"</v>
      </c>
    </row>
    <row r="14" spans="3:18" x14ac:dyDescent="0.3">
      <c r="C14" t="s">
        <v>420</v>
      </c>
      <c r="H14" s="10" t="s">
        <v>412</v>
      </c>
      <c r="I14" t="s">
        <v>374</v>
      </c>
      <c r="J14" s="10" t="s">
        <v>412</v>
      </c>
      <c r="L14" t="str">
        <f t="shared" si="0"/>
        <v>"Haiphong"</v>
      </c>
    </row>
    <row r="15" spans="3:18" x14ac:dyDescent="0.3">
      <c r="C15" t="s">
        <v>415</v>
      </c>
      <c r="H15" s="10" t="s">
        <v>412</v>
      </c>
      <c r="I15" t="s">
        <v>375</v>
      </c>
      <c r="J15" s="10" t="s">
        <v>412</v>
      </c>
      <c r="L15" t="str">
        <f t="shared" si="0"/>
        <v>"Rotterdam"</v>
      </c>
    </row>
    <row r="16" spans="3:18" x14ac:dyDescent="0.3">
      <c r="C16" t="s">
        <v>416</v>
      </c>
      <c r="H16" s="10" t="s">
        <v>412</v>
      </c>
      <c r="I16" t="s">
        <v>376</v>
      </c>
      <c r="J16" s="10" t="s">
        <v>412</v>
      </c>
      <c r="L16" t="str">
        <f t="shared" si="0"/>
        <v>"Antwerp"</v>
      </c>
    </row>
    <row r="17" spans="3:16" x14ac:dyDescent="0.3">
      <c r="C17" t="s">
        <v>417</v>
      </c>
      <c r="H17" s="10" t="s">
        <v>412</v>
      </c>
      <c r="I17" t="s">
        <v>377</v>
      </c>
      <c r="J17" s="10" t="s">
        <v>412</v>
      </c>
      <c r="L17" t="str">
        <f t="shared" si="0"/>
        <v>"Hamburg"</v>
      </c>
      <c r="P17" t="s">
        <v>422</v>
      </c>
    </row>
    <row r="18" spans="3:16" x14ac:dyDescent="0.3">
      <c r="C18" t="s">
        <v>418</v>
      </c>
      <c r="H18" s="10" t="s">
        <v>412</v>
      </c>
      <c r="I18" t="s">
        <v>378</v>
      </c>
      <c r="J18" s="10" t="s">
        <v>412</v>
      </c>
      <c r="L18" t="str">
        <f t="shared" si="0"/>
        <v>"Le Havre"</v>
      </c>
      <c r="P18" t="s">
        <v>423</v>
      </c>
    </row>
    <row r="19" spans="3:16" x14ac:dyDescent="0.3">
      <c r="C19" t="s">
        <v>419</v>
      </c>
      <c r="H19" s="10" t="s">
        <v>412</v>
      </c>
      <c r="I19" t="s">
        <v>379</v>
      </c>
      <c r="J19" s="10" t="s">
        <v>412</v>
      </c>
      <c r="L19" t="str">
        <f t="shared" si="0"/>
        <v>"Southampton"</v>
      </c>
      <c r="P19" t="s">
        <v>424</v>
      </c>
    </row>
    <row r="20" spans="3:16" x14ac:dyDescent="0.3">
      <c r="H20" s="10" t="s">
        <v>412</v>
      </c>
      <c r="I20" t="s">
        <v>380</v>
      </c>
      <c r="J20" s="10" t="s">
        <v>412</v>
      </c>
      <c r="L20" t="str">
        <f t="shared" si="0"/>
        <v>"Felixstowe"</v>
      </c>
      <c r="P20" t="s">
        <v>425</v>
      </c>
    </row>
    <row r="21" spans="3:16" x14ac:dyDescent="0.3">
      <c r="C21" t="s">
        <v>421</v>
      </c>
      <c r="H21" s="10" t="s">
        <v>412</v>
      </c>
      <c r="I21" t="s">
        <v>381</v>
      </c>
      <c r="J21" s="10" t="s">
        <v>412</v>
      </c>
      <c r="L21" t="str">
        <f t="shared" si="0"/>
        <v>"Bremerhaven"</v>
      </c>
      <c r="P21" t="s">
        <v>426</v>
      </c>
    </row>
    <row r="22" spans="3:16" x14ac:dyDescent="0.3">
      <c r="H22" s="10" t="s">
        <v>412</v>
      </c>
      <c r="I22" t="s">
        <v>382</v>
      </c>
      <c r="J22" s="10" t="s">
        <v>412</v>
      </c>
      <c r="L22" t="str">
        <f t="shared" si="0"/>
        <v>"Zeebrugge"</v>
      </c>
      <c r="P22" t="s">
        <v>427</v>
      </c>
    </row>
    <row r="23" spans="3:16" x14ac:dyDescent="0.3">
      <c r="H23" s="10" t="s">
        <v>412</v>
      </c>
      <c r="I23" t="s">
        <v>383</v>
      </c>
      <c r="J23" s="10" t="s">
        <v>412</v>
      </c>
      <c r="L23" t="str">
        <f t="shared" si="0"/>
        <v>"Lisbon"</v>
      </c>
      <c r="P23" t="s">
        <v>428</v>
      </c>
    </row>
    <row r="24" spans="3:16" x14ac:dyDescent="0.3">
      <c r="H24" s="10" t="s">
        <v>412</v>
      </c>
      <c r="I24" t="s">
        <v>384</v>
      </c>
      <c r="J24" s="10" t="s">
        <v>412</v>
      </c>
      <c r="L24" t="str">
        <f t="shared" si="0"/>
        <v>"Gdansk"</v>
      </c>
      <c r="P24" t="s">
        <v>429</v>
      </c>
    </row>
    <row r="25" spans="3:16" x14ac:dyDescent="0.3">
      <c r="H25" s="10" t="s">
        <v>412</v>
      </c>
      <c r="I25" t="s">
        <v>385</v>
      </c>
      <c r="J25" s="10" t="s">
        <v>412</v>
      </c>
      <c r="L25" t="str">
        <f t="shared" si="0"/>
        <v>"Santos"</v>
      </c>
      <c r="P25" t="s">
        <v>430</v>
      </c>
    </row>
    <row r="26" spans="3:16" x14ac:dyDescent="0.3">
      <c r="H26" s="10" t="s">
        <v>412</v>
      </c>
      <c r="I26" t="s">
        <v>386</v>
      </c>
      <c r="J26" s="10" t="s">
        <v>412</v>
      </c>
      <c r="L26" t="str">
        <f t="shared" si="0"/>
        <v>"Itapoa"</v>
      </c>
    </row>
    <row r="27" spans="3:16" x14ac:dyDescent="0.3">
      <c r="H27" s="10" t="s">
        <v>412</v>
      </c>
      <c r="I27" t="s">
        <v>387</v>
      </c>
      <c r="J27" s="10" t="s">
        <v>412</v>
      </c>
      <c r="L27" t="str">
        <f t="shared" si="0"/>
        <v>"Rio Grande"</v>
      </c>
    </row>
    <row r="28" spans="3:16" x14ac:dyDescent="0.3">
      <c r="H28" s="10" t="s">
        <v>412</v>
      </c>
      <c r="I28" t="s">
        <v>388</v>
      </c>
      <c r="J28" s="10" t="s">
        <v>412</v>
      </c>
      <c r="L28" t="str">
        <f t="shared" si="0"/>
        <v>"Paranagua"</v>
      </c>
    </row>
    <row r="29" spans="3:16" x14ac:dyDescent="0.3">
      <c r="H29" s="10" t="s">
        <v>412</v>
      </c>
      <c r="I29" t="s">
        <v>389</v>
      </c>
      <c r="J29" s="10" t="s">
        <v>412</v>
      </c>
      <c r="L29" t="str">
        <f t="shared" si="0"/>
        <v>"Buenos Aires"</v>
      </c>
    </row>
    <row r="30" spans="3:16" x14ac:dyDescent="0.3">
      <c r="H30" s="10" t="s">
        <v>412</v>
      </c>
      <c r="I30" t="s">
        <v>390</v>
      </c>
      <c r="J30" s="10" t="s">
        <v>412</v>
      </c>
      <c r="L30" t="str">
        <f t="shared" si="0"/>
        <v>"Montevideo"</v>
      </c>
    </row>
    <row r="31" spans="3:16" x14ac:dyDescent="0.3">
      <c r="H31" s="10" t="s">
        <v>412</v>
      </c>
      <c r="I31" t="s">
        <v>391</v>
      </c>
      <c r="J31" s="10" t="s">
        <v>412</v>
      </c>
      <c r="L31" t="str">
        <f t="shared" si="0"/>
        <v>"Callao"</v>
      </c>
    </row>
    <row r="32" spans="3:16" x14ac:dyDescent="0.3">
      <c r="H32" s="10" t="s">
        <v>412</v>
      </c>
      <c r="I32" t="s">
        <v>392</v>
      </c>
      <c r="J32" s="10" t="s">
        <v>412</v>
      </c>
      <c r="L32" t="str">
        <f t="shared" si="0"/>
        <v>"Guayaquil"</v>
      </c>
    </row>
    <row r="33" spans="8:12" x14ac:dyDescent="0.3">
      <c r="H33" s="10" t="s">
        <v>412</v>
      </c>
      <c r="I33" t="s">
        <v>393</v>
      </c>
      <c r="J33" s="10" t="s">
        <v>412</v>
      </c>
      <c r="L33" t="str">
        <f t="shared" si="0"/>
        <v>"Valparaiso"</v>
      </c>
    </row>
    <row r="34" spans="8:12" x14ac:dyDescent="0.3">
      <c r="H34" s="10" t="s">
        <v>412</v>
      </c>
      <c r="I34" t="s">
        <v>394</v>
      </c>
      <c r="J34" s="10" t="s">
        <v>412</v>
      </c>
      <c r="L34" t="str">
        <f t="shared" si="0"/>
        <v>"San Antonio"</v>
      </c>
    </row>
    <row r="35" spans="8:12" x14ac:dyDescent="0.3">
      <c r="H35" s="10" t="s">
        <v>412</v>
      </c>
      <c r="I35" t="s">
        <v>103</v>
      </c>
      <c r="J35" s="10" t="s">
        <v>412</v>
      </c>
      <c r="L35" t="str">
        <f t="shared" si="0"/>
        <v>"Los Angeles"</v>
      </c>
    </row>
    <row r="36" spans="8:12" x14ac:dyDescent="0.3">
      <c r="H36" s="10" t="s">
        <v>412</v>
      </c>
      <c r="I36" t="s">
        <v>113</v>
      </c>
      <c r="J36" s="10" t="s">
        <v>412</v>
      </c>
      <c r="L36" t="str">
        <f t="shared" si="0"/>
        <v>"Long Beach"</v>
      </c>
    </row>
    <row r="37" spans="8:12" x14ac:dyDescent="0.3">
      <c r="H37" s="10" t="s">
        <v>412</v>
      </c>
      <c r="I37" t="s">
        <v>121</v>
      </c>
      <c r="J37" s="10" t="s">
        <v>412</v>
      </c>
      <c r="L37" t="str">
        <f t="shared" si="0"/>
        <v>"Seattle"</v>
      </c>
    </row>
    <row r="38" spans="8:12" x14ac:dyDescent="0.3">
      <c r="H38" s="10" t="s">
        <v>412</v>
      </c>
      <c r="I38" t="s">
        <v>395</v>
      </c>
      <c r="J38" s="10" t="s">
        <v>412</v>
      </c>
      <c r="L38" t="str">
        <f t="shared" si="0"/>
        <v>"Tacoma"</v>
      </c>
    </row>
    <row r="39" spans="8:12" x14ac:dyDescent="0.3">
      <c r="H39" s="10" t="s">
        <v>412</v>
      </c>
      <c r="I39" t="s">
        <v>396</v>
      </c>
      <c r="J39" s="10" t="s">
        <v>412</v>
      </c>
      <c r="L39" t="str">
        <f t="shared" si="0"/>
        <v>"Oakland"</v>
      </c>
    </row>
    <row r="40" spans="8:12" x14ac:dyDescent="0.3">
      <c r="H40" s="10" t="s">
        <v>412</v>
      </c>
      <c r="I40" t="s">
        <v>397</v>
      </c>
      <c r="J40" s="10" t="s">
        <v>412</v>
      </c>
      <c r="L40" t="str">
        <f t="shared" si="0"/>
        <v>"New York"</v>
      </c>
    </row>
    <row r="41" spans="8:12" x14ac:dyDescent="0.3">
      <c r="H41" s="10" t="s">
        <v>412</v>
      </c>
      <c r="I41" t="s">
        <v>398</v>
      </c>
      <c r="J41" s="10" t="s">
        <v>412</v>
      </c>
      <c r="L41" t="str">
        <f t="shared" si="0"/>
        <v>"Norfolk"</v>
      </c>
    </row>
    <row r="42" spans="8:12" x14ac:dyDescent="0.3">
      <c r="H42" s="10" t="s">
        <v>412</v>
      </c>
      <c r="I42" t="s">
        <v>399</v>
      </c>
      <c r="J42" s="10" t="s">
        <v>412</v>
      </c>
      <c r="L42" t="str">
        <f t="shared" si="0"/>
        <v>"Savannah"</v>
      </c>
    </row>
    <row r="43" spans="8:12" x14ac:dyDescent="0.3">
      <c r="H43" s="10" t="s">
        <v>412</v>
      </c>
      <c r="I43" t="s">
        <v>400</v>
      </c>
      <c r="J43" s="10" t="s">
        <v>412</v>
      </c>
      <c r="L43" t="str">
        <f t="shared" si="0"/>
        <v>"Charleston"</v>
      </c>
    </row>
    <row r="44" spans="8:12" x14ac:dyDescent="0.3">
      <c r="H44" s="10" t="s">
        <v>412</v>
      </c>
      <c r="I44" t="s">
        <v>401</v>
      </c>
      <c r="J44" s="10" t="s">
        <v>412</v>
      </c>
      <c r="L44" t="str">
        <f t="shared" si="0"/>
        <v>"Jacksonville"</v>
      </c>
    </row>
    <row r="45" spans="8:12" x14ac:dyDescent="0.3">
      <c r="H45" s="10" t="s">
        <v>412</v>
      </c>
      <c r="I45" t="s">
        <v>402</v>
      </c>
      <c r="J45" s="10" t="s">
        <v>412</v>
      </c>
      <c r="L45" t="str">
        <f t="shared" si="0"/>
        <v>"Valencia"</v>
      </c>
    </row>
    <row r="46" spans="8:12" x14ac:dyDescent="0.3">
      <c r="H46" s="10" t="s">
        <v>412</v>
      </c>
      <c r="I46" t="s">
        <v>403</v>
      </c>
      <c r="J46" s="10" t="s">
        <v>412</v>
      </c>
      <c r="L46" t="str">
        <f t="shared" si="0"/>
        <v>"Algeciras"</v>
      </c>
    </row>
    <row r="47" spans="8:12" x14ac:dyDescent="0.3">
      <c r="H47" s="10" t="s">
        <v>412</v>
      </c>
      <c r="I47" t="s">
        <v>404</v>
      </c>
      <c r="J47" s="10" t="s">
        <v>412</v>
      </c>
      <c r="L47" t="str">
        <f t="shared" si="0"/>
        <v>"Piraeus"</v>
      </c>
    </row>
    <row r="48" spans="8:12" x14ac:dyDescent="0.3">
      <c r="H48" s="10" t="s">
        <v>412</v>
      </c>
      <c r="I48" t="s">
        <v>405</v>
      </c>
      <c r="J48" s="10" t="s">
        <v>412</v>
      </c>
      <c r="L48" t="str">
        <f t="shared" si="0"/>
        <v>"Barcelona"</v>
      </c>
    </row>
    <row r="49" spans="8:12" x14ac:dyDescent="0.3">
      <c r="H49" s="10" t="s">
        <v>412</v>
      </c>
      <c r="I49" t="s">
        <v>406</v>
      </c>
      <c r="J49" s="10" t="s">
        <v>412</v>
      </c>
      <c r="L49" t="str">
        <f t="shared" si="0"/>
        <v>"Baltimore"</v>
      </c>
    </row>
    <row r="50" spans="8:12" x14ac:dyDescent="0.3">
      <c r="H50" s="10" t="s">
        <v>412</v>
      </c>
      <c r="I50" t="s">
        <v>407</v>
      </c>
      <c r="J50" s="10" t="s">
        <v>412</v>
      </c>
      <c r="L50" t="str">
        <f t="shared" si="0"/>
        <v>"Philadelphia"</v>
      </c>
    </row>
    <row r="51" spans="8:12" x14ac:dyDescent="0.3">
      <c r="H51" s="10" t="s">
        <v>412</v>
      </c>
      <c r="I51" t="s">
        <v>408</v>
      </c>
      <c r="J51" s="10" t="s">
        <v>412</v>
      </c>
      <c r="L51" t="str">
        <f t="shared" si="0"/>
        <v>"Boston"</v>
      </c>
    </row>
    <row r="52" spans="8:12" x14ac:dyDescent="0.3">
      <c r="H52" s="10" t="s">
        <v>412</v>
      </c>
      <c r="I52" t="s">
        <v>409</v>
      </c>
      <c r="J52" s="10" t="s">
        <v>412</v>
      </c>
      <c r="L52" t="str">
        <f t="shared" si="0"/>
        <v>"Halifax"</v>
      </c>
    </row>
    <row r="53" spans="8:12" x14ac:dyDescent="0.3">
      <c r="H53" s="10" t="s">
        <v>412</v>
      </c>
      <c r="I53" t="s">
        <v>410</v>
      </c>
      <c r="J53" s="10" t="s">
        <v>412</v>
      </c>
      <c r="L53" t="str">
        <f t="shared" si="0"/>
        <v>"Houston"</v>
      </c>
    </row>
    <row r="54" spans="8:12" x14ac:dyDescent="0.3">
      <c r="H54" s="10" t="s">
        <v>412</v>
      </c>
      <c r="I54" t="s">
        <v>411</v>
      </c>
      <c r="J54" s="10" t="s">
        <v>412</v>
      </c>
      <c r="L54" t="str">
        <f t="shared" si="0"/>
        <v>"Laem Chabang"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C3C6-E5CA-4E53-934C-96862D750BA0}">
  <dimension ref="A1:S136"/>
  <sheetViews>
    <sheetView topLeftCell="C1" workbookViewId="0">
      <selection activeCell="M20" sqref="M20"/>
    </sheetView>
  </sheetViews>
  <sheetFormatPr defaultRowHeight="14.4" x14ac:dyDescent="0.3"/>
  <cols>
    <col min="19" max="19" width="9.109375" style="11"/>
  </cols>
  <sheetData>
    <row r="1" spans="1:19" x14ac:dyDescent="0.3">
      <c r="A1" t="s">
        <v>431</v>
      </c>
      <c r="S1" s="11" t="s">
        <v>565</v>
      </c>
    </row>
    <row r="2" spans="1:19" x14ac:dyDescent="0.3">
      <c r="A2" t="s">
        <v>432</v>
      </c>
      <c r="S2" s="11" t="s">
        <v>566</v>
      </c>
    </row>
    <row r="3" spans="1:19" x14ac:dyDescent="0.3">
      <c r="A3" t="s">
        <v>433</v>
      </c>
      <c r="S3" s="11" t="s">
        <v>567</v>
      </c>
    </row>
    <row r="4" spans="1:19" x14ac:dyDescent="0.3">
      <c r="A4" t="s">
        <v>434</v>
      </c>
      <c r="J4" t="s">
        <v>524</v>
      </c>
      <c r="S4" s="11" t="s">
        <v>568</v>
      </c>
    </row>
    <row r="5" spans="1:19" x14ac:dyDescent="0.3">
      <c r="A5" t="s">
        <v>435</v>
      </c>
      <c r="S5" s="11" t="s">
        <v>569</v>
      </c>
    </row>
    <row r="6" spans="1:19" x14ac:dyDescent="0.3">
      <c r="J6" t="s">
        <v>525</v>
      </c>
    </row>
    <row r="7" spans="1:19" x14ac:dyDescent="0.3">
      <c r="A7" t="s">
        <v>436</v>
      </c>
      <c r="S7" s="11" t="s">
        <v>570</v>
      </c>
    </row>
    <row r="8" spans="1:19" x14ac:dyDescent="0.3">
      <c r="S8" s="11" t="s">
        <v>571</v>
      </c>
    </row>
    <row r="9" spans="1:19" x14ac:dyDescent="0.3">
      <c r="A9" t="s">
        <v>437</v>
      </c>
      <c r="J9" t="s">
        <v>526</v>
      </c>
      <c r="S9" s="11" t="s">
        <v>572</v>
      </c>
    </row>
    <row r="10" spans="1:19" x14ac:dyDescent="0.3">
      <c r="A10" t="s">
        <v>438</v>
      </c>
      <c r="S10" s="11" t="s">
        <v>573</v>
      </c>
    </row>
    <row r="11" spans="1:19" x14ac:dyDescent="0.3">
      <c r="A11" t="s">
        <v>439</v>
      </c>
    </row>
    <row r="12" spans="1:19" x14ac:dyDescent="0.3">
      <c r="S12" s="11" t="s">
        <v>574</v>
      </c>
    </row>
    <row r="13" spans="1:19" x14ac:dyDescent="0.3">
      <c r="A13" t="s">
        <v>440</v>
      </c>
      <c r="S13" s="11" t="s">
        <v>575</v>
      </c>
    </row>
    <row r="14" spans="1:19" x14ac:dyDescent="0.3">
      <c r="A14" t="s">
        <v>441</v>
      </c>
      <c r="S14" s="11" t="s">
        <v>576</v>
      </c>
    </row>
    <row r="15" spans="1:19" x14ac:dyDescent="0.3">
      <c r="S15" s="11" t="s">
        <v>577</v>
      </c>
    </row>
    <row r="16" spans="1:19" x14ac:dyDescent="0.3">
      <c r="S16" s="11" t="s">
        <v>578</v>
      </c>
    </row>
    <row r="17" spans="1:19" x14ac:dyDescent="0.3">
      <c r="A17" t="s">
        <v>442</v>
      </c>
      <c r="S17" s="11" t="s">
        <v>579</v>
      </c>
    </row>
    <row r="18" spans="1:19" x14ac:dyDescent="0.3">
      <c r="A18" t="s">
        <v>443</v>
      </c>
      <c r="S18" s="11" t="s">
        <v>580</v>
      </c>
    </row>
    <row r="19" spans="1:19" x14ac:dyDescent="0.3">
      <c r="A19" t="s">
        <v>444</v>
      </c>
    </row>
    <row r="20" spans="1:19" x14ac:dyDescent="0.3">
      <c r="A20" t="s">
        <v>445</v>
      </c>
    </row>
    <row r="21" spans="1:19" x14ac:dyDescent="0.3">
      <c r="S21" s="11" t="s">
        <v>527</v>
      </c>
    </row>
    <row r="22" spans="1:19" x14ac:dyDescent="0.3">
      <c r="A22" t="s">
        <v>446</v>
      </c>
      <c r="S22" s="11" t="s">
        <v>528</v>
      </c>
    </row>
    <row r="23" spans="1:19" x14ac:dyDescent="0.3">
      <c r="A23" t="s">
        <v>447</v>
      </c>
      <c r="S23" s="11" t="s">
        <v>529</v>
      </c>
    </row>
    <row r="24" spans="1:19" x14ac:dyDescent="0.3">
      <c r="A24" t="s">
        <v>448</v>
      </c>
      <c r="S24" s="11" t="s">
        <v>530</v>
      </c>
    </row>
    <row r="25" spans="1:19" x14ac:dyDescent="0.3">
      <c r="A25" t="s">
        <v>449</v>
      </c>
      <c r="S25" s="11" t="s">
        <v>531</v>
      </c>
    </row>
    <row r="26" spans="1:19" x14ac:dyDescent="0.3">
      <c r="A26" t="s">
        <v>450</v>
      </c>
    </row>
    <row r="27" spans="1:19" x14ac:dyDescent="0.3">
      <c r="A27" t="s">
        <v>451</v>
      </c>
    </row>
    <row r="28" spans="1:19" x14ac:dyDescent="0.3">
      <c r="A28" t="s">
        <v>452</v>
      </c>
      <c r="S28" s="11" t="s">
        <v>532</v>
      </c>
    </row>
    <row r="29" spans="1:19" x14ac:dyDescent="0.3">
      <c r="A29" t="s">
        <v>453</v>
      </c>
    </row>
    <row r="30" spans="1:19" x14ac:dyDescent="0.3">
      <c r="S30" s="11" t="s">
        <v>533</v>
      </c>
    </row>
    <row r="31" spans="1:19" x14ac:dyDescent="0.3">
      <c r="A31" t="s">
        <v>454</v>
      </c>
      <c r="S31" s="11" t="s">
        <v>534</v>
      </c>
    </row>
    <row r="32" spans="1:19" x14ac:dyDescent="0.3">
      <c r="A32" t="s">
        <v>455</v>
      </c>
      <c r="S32" s="11" t="s">
        <v>535</v>
      </c>
    </row>
    <row r="33" spans="1:19" x14ac:dyDescent="0.3">
      <c r="A33" t="s">
        <v>456</v>
      </c>
      <c r="S33" s="11" t="s">
        <v>536</v>
      </c>
    </row>
    <row r="34" spans="1:19" x14ac:dyDescent="0.3">
      <c r="A34" t="s">
        <v>457</v>
      </c>
      <c r="S34" s="11" t="s">
        <v>537</v>
      </c>
    </row>
    <row r="35" spans="1:19" x14ac:dyDescent="0.3">
      <c r="A35" t="s">
        <v>458</v>
      </c>
    </row>
    <row r="36" spans="1:19" x14ac:dyDescent="0.3">
      <c r="A36" t="s">
        <v>459</v>
      </c>
      <c r="S36" s="11" t="s">
        <v>538</v>
      </c>
    </row>
    <row r="37" spans="1:19" x14ac:dyDescent="0.3">
      <c r="A37" t="s">
        <v>460</v>
      </c>
    </row>
    <row r="38" spans="1:19" x14ac:dyDescent="0.3">
      <c r="A38" t="s">
        <v>461</v>
      </c>
      <c r="S38" s="11" t="s">
        <v>539</v>
      </c>
    </row>
    <row r="39" spans="1:19" x14ac:dyDescent="0.3">
      <c r="A39" t="s">
        <v>462</v>
      </c>
    </row>
    <row r="40" spans="1:19" x14ac:dyDescent="0.3">
      <c r="A40" t="s">
        <v>463</v>
      </c>
      <c r="S40" s="11" t="s">
        <v>540</v>
      </c>
    </row>
    <row r="41" spans="1:19" x14ac:dyDescent="0.3">
      <c r="A41" t="s">
        <v>464</v>
      </c>
    </row>
    <row r="42" spans="1:19" x14ac:dyDescent="0.3">
      <c r="A42" t="s">
        <v>465</v>
      </c>
      <c r="S42" s="11" t="s">
        <v>541</v>
      </c>
    </row>
    <row r="43" spans="1:19" x14ac:dyDescent="0.3">
      <c r="A43" t="s">
        <v>466</v>
      </c>
      <c r="S43" s="11" t="s">
        <v>542</v>
      </c>
    </row>
    <row r="44" spans="1:19" x14ac:dyDescent="0.3">
      <c r="A44" t="s">
        <v>453</v>
      </c>
    </row>
    <row r="45" spans="1:19" x14ac:dyDescent="0.3">
      <c r="A45" t="s">
        <v>467</v>
      </c>
      <c r="S45" s="11" t="s">
        <v>543</v>
      </c>
    </row>
    <row r="46" spans="1:19" x14ac:dyDescent="0.3">
      <c r="A46" t="s">
        <v>468</v>
      </c>
      <c r="S46" s="11" t="s">
        <v>544</v>
      </c>
    </row>
    <row r="47" spans="1:19" x14ac:dyDescent="0.3">
      <c r="A47" t="s">
        <v>469</v>
      </c>
      <c r="S47" s="11" t="s">
        <v>545</v>
      </c>
    </row>
    <row r="48" spans="1:19" x14ac:dyDescent="0.3">
      <c r="A48" t="s">
        <v>470</v>
      </c>
      <c r="S48" s="11" t="s">
        <v>546</v>
      </c>
    </row>
    <row r="49" spans="1:19" x14ac:dyDescent="0.3">
      <c r="S49" s="11" t="s">
        <v>547</v>
      </c>
    </row>
    <row r="50" spans="1:19" x14ac:dyDescent="0.3">
      <c r="S50" s="11" t="s">
        <v>548</v>
      </c>
    </row>
    <row r="51" spans="1:19" x14ac:dyDescent="0.3">
      <c r="A51" t="s">
        <v>471</v>
      </c>
    </row>
    <row r="52" spans="1:19" x14ac:dyDescent="0.3">
      <c r="S52" s="11" t="s">
        <v>549</v>
      </c>
    </row>
    <row r="53" spans="1:19" x14ac:dyDescent="0.3">
      <c r="A53" t="s">
        <v>472</v>
      </c>
      <c r="S53" s="11" t="s">
        <v>520</v>
      </c>
    </row>
    <row r="54" spans="1:19" x14ac:dyDescent="0.3">
      <c r="A54" t="s">
        <v>473</v>
      </c>
    </row>
    <row r="55" spans="1:19" x14ac:dyDescent="0.3">
      <c r="S55" s="11" t="s">
        <v>550</v>
      </c>
    </row>
    <row r="56" spans="1:19" x14ac:dyDescent="0.3">
      <c r="A56" t="s">
        <v>474</v>
      </c>
      <c r="S56" s="11" t="s">
        <v>551</v>
      </c>
    </row>
    <row r="57" spans="1:19" x14ac:dyDescent="0.3">
      <c r="A57" t="s">
        <v>475</v>
      </c>
      <c r="S57" s="11" t="s">
        <v>552</v>
      </c>
    </row>
    <row r="58" spans="1:19" x14ac:dyDescent="0.3">
      <c r="S58" s="11" t="s">
        <v>553</v>
      </c>
    </row>
    <row r="59" spans="1:19" x14ac:dyDescent="0.3">
      <c r="A59" t="s">
        <v>476</v>
      </c>
      <c r="S59" s="11" t="s">
        <v>554</v>
      </c>
    </row>
    <row r="60" spans="1:19" x14ac:dyDescent="0.3">
      <c r="A60" t="s">
        <v>446</v>
      </c>
      <c r="S60" s="11" t="s">
        <v>555</v>
      </c>
    </row>
    <row r="61" spans="1:19" x14ac:dyDescent="0.3">
      <c r="A61" t="s">
        <v>477</v>
      </c>
      <c r="S61" s="11" t="s">
        <v>556</v>
      </c>
    </row>
    <row r="62" spans="1:19" x14ac:dyDescent="0.3">
      <c r="A62" t="s">
        <v>469</v>
      </c>
      <c r="S62" s="11" t="s">
        <v>557</v>
      </c>
    </row>
    <row r="63" spans="1:19" x14ac:dyDescent="0.3">
      <c r="A63" t="s">
        <v>470</v>
      </c>
      <c r="S63" s="11" t="s">
        <v>558</v>
      </c>
    </row>
    <row r="64" spans="1:19" x14ac:dyDescent="0.3">
      <c r="S64" s="11" t="s">
        <v>559</v>
      </c>
    </row>
    <row r="65" spans="1:19" x14ac:dyDescent="0.3">
      <c r="A65" t="s">
        <v>478</v>
      </c>
      <c r="S65" s="11" t="s">
        <v>470</v>
      </c>
    </row>
    <row r="67" spans="1:19" x14ac:dyDescent="0.3">
      <c r="S67" s="11" t="s">
        <v>560</v>
      </c>
    </row>
    <row r="68" spans="1:19" x14ac:dyDescent="0.3">
      <c r="A68" t="s">
        <v>479</v>
      </c>
      <c r="S68" s="11" t="s">
        <v>561</v>
      </c>
    </row>
    <row r="69" spans="1:19" x14ac:dyDescent="0.3">
      <c r="A69" t="s">
        <v>422</v>
      </c>
    </row>
    <row r="70" spans="1:19" x14ac:dyDescent="0.3">
      <c r="A70" t="s">
        <v>480</v>
      </c>
      <c r="S70" s="11" t="s">
        <v>562</v>
      </c>
    </row>
    <row r="71" spans="1:19" x14ac:dyDescent="0.3">
      <c r="A71" t="s">
        <v>481</v>
      </c>
      <c r="S71" s="11" t="s">
        <v>563</v>
      </c>
    </row>
    <row r="72" spans="1:19" x14ac:dyDescent="0.3">
      <c r="A72" t="s">
        <v>482</v>
      </c>
      <c r="S72" s="11" t="s">
        <v>564</v>
      </c>
    </row>
    <row r="73" spans="1:19" x14ac:dyDescent="0.3">
      <c r="A73" t="s">
        <v>483</v>
      </c>
      <c r="S73" s="11" t="s">
        <v>581</v>
      </c>
    </row>
    <row r="74" spans="1:19" x14ac:dyDescent="0.3">
      <c r="A74" t="s">
        <v>484</v>
      </c>
    </row>
    <row r="75" spans="1:19" x14ac:dyDescent="0.3">
      <c r="A75" t="s">
        <v>485</v>
      </c>
    </row>
    <row r="76" spans="1:19" x14ac:dyDescent="0.3">
      <c r="A76" t="s">
        <v>486</v>
      </c>
    </row>
    <row r="77" spans="1:19" x14ac:dyDescent="0.3">
      <c r="A77" t="s">
        <v>430</v>
      </c>
    </row>
    <row r="80" spans="1:19" x14ac:dyDescent="0.3">
      <c r="A80" t="s">
        <v>487</v>
      </c>
    </row>
    <row r="81" spans="1:1" x14ac:dyDescent="0.3">
      <c r="A81" t="s">
        <v>488</v>
      </c>
    </row>
    <row r="83" spans="1:1" x14ac:dyDescent="0.3">
      <c r="A83" t="s">
        <v>489</v>
      </c>
    </row>
    <row r="84" spans="1:1" x14ac:dyDescent="0.3">
      <c r="A84" t="s">
        <v>490</v>
      </c>
    </row>
    <row r="86" spans="1:1" x14ac:dyDescent="0.3">
      <c r="A86" t="s">
        <v>491</v>
      </c>
    </row>
    <row r="87" spans="1:1" x14ac:dyDescent="0.3">
      <c r="A87" t="s">
        <v>492</v>
      </c>
    </row>
    <row r="89" spans="1:1" x14ac:dyDescent="0.3">
      <c r="A89" t="s">
        <v>493</v>
      </c>
    </row>
    <row r="90" spans="1:1" x14ac:dyDescent="0.3">
      <c r="A90" t="s">
        <v>494</v>
      </c>
    </row>
    <row r="91" spans="1:1" x14ac:dyDescent="0.3">
      <c r="A91" t="s">
        <v>495</v>
      </c>
    </row>
    <row r="92" spans="1:1" x14ac:dyDescent="0.3">
      <c r="A92" t="s">
        <v>496</v>
      </c>
    </row>
    <row r="93" spans="1:1" x14ac:dyDescent="0.3">
      <c r="A93" t="s">
        <v>470</v>
      </c>
    </row>
    <row r="95" spans="1:1" x14ac:dyDescent="0.3">
      <c r="A95" t="s">
        <v>497</v>
      </c>
    </row>
    <row r="96" spans="1:1" x14ac:dyDescent="0.3">
      <c r="A96" t="s">
        <v>498</v>
      </c>
    </row>
    <row r="97" spans="1:1" x14ac:dyDescent="0.3">
      <c r="A97" t="s">
        <v>499</v>
      </c>
    </row>
    <row r="98" spans="1:1" x14ac:dyDescent="0.3">
      <c r="A98" t="s">
        <v>500</v>
      </c>
    </row>
    <row r="99" spans="1:1" x14ac:dyDescent="0.3">
      <c r="A99" t="s">
        <v>470</v>
      </c>
    </row>
    <row r="101" spans="1:1" x14ac:dyDescent="0.3">
      <c r="A101" t="s">
        <v>501</v>
      </c>
    </row>
    <row r="102" spans="1:1" x14ac:dyDescent="0.3">
      <c r="A102" t="s">
        <v>502</v>
      </c>
    </row>
    <row r="104" spans="1:1" x14ac:dyDescent="0.3">
      <c r="A104" t="s">
        <v>478</v>
      </c>
    </row>
    <row r="105" spans="1:1" x14ac:dyDescent="0.3">
      <c r="A105" t="s">
        <v>478</v>
      </c>
    </row>
    <row r="108" spans="1:1" x14ac:dyDescent="0.3">
      <c r="A108" t="s">
        <v>503</v>
      </c>
    </row>
    <row r="109" spans="1:1" x14ac:dyDescent="0.3">
      <c r="A109" t="s">
        <v>504</v>
      </c>
    </row>
    <row r="111" spans="1:1" x14ac:dyDescent="0.3">
      <c r="A111" t="s">
        <v>505</v>
      </c>
    </row>
    <row r="112" spans="1:1" x14ac:dyDescent="0.3">
      <c r="A112" t="s">
        <v>506</v>
      </c>
    </row>
    <row r="114" spans="1:1" x14ac:dyDescent="0.3">
      <c r="A114" t="s">
        <v>507</v>
      </c>
    </row>
    <row r="115" spans="1:1" x14ac:dyDescent="0.3">
      <c r="A115" t="s">
        <v>508</v>
      </c>
    </row>
    <row r="117" spans="1:1" x14ac:dyDescent="0.3">
      <c r="A117" t="s">
        <v>509</v>
      </c>
    </row>
    <row r="118" spans="1:1" x14ac:dyDescent="0.3">
      <c r="A118" t="s">
        <v>510</v>
      </c>
    </row>
    <row r="120" spans="1:1" x14ac:dyDescent="0.3">
      <c r="A120" t="s">
        <v>511</v>
      </c>
    </row>
    <row r="121" spans="1:1" x14ac:dyDescent="0.3">
      <c r="A121" t="s">
        <v>512</v>
      </c>
    </row>
    <row r="122" spans="1:1" x14ac:dyDescent="0.3">
      <c r="A122" t="s">
        <v>513</v>
      </c>
    </row>
    <row r="123" spans="1:1" x14ac:dyDescent="0.3">
      <c r="A123" t="s">
        <v>514</v>
      </c>
    </row>
    <row r="124" spans="1:1" x14ac:dyDescent="0.3">
      <c r="A124" t="s">
        <v>515</v>
      </c>
    </row>
    <row r="125" spans="1:1" x14ac:dyDescent="0.3">
      <c r="A125" t="s">
        <v>516</v>
      </c>
    </row>
    <row r="127" spans="1:1" x14ac:dyDescent="0.3">
      <c r="A127" t="s">
        <v>517</v>
      </c>
    </row>
    <row r="130" spans="1:1" x14ac:dyDescent="0.3">
      <c r="A130" t="s">
        <v>518</v>
      </c>
    </row>
    <row r="131" spans="1:1" x14ac:dyDescent="0.3">
      <c r="A131" t="s">
        <v>519</v>
      </c>
    </row>
    <row r="132" spans="1:1" x14ac:dyDescent="0.3">
      <c r="A132" t="s">
        <v>520</v>
      </c>
    </row>
    <row r="133" spans="1:1" x14ac:dyDescent="0.3">
      <c r="A133" t="s">
        <v>521</v>
      </c>
    </row>
    <row r="134" spans="1:1" x14ac:dyDescent="0.3">
      <c r="A134" t="s">
        <v>522</v>
      </c>
    </row>
    <row r="135" spans="1:1" x14ac:dyDescent="0.3">
      <c r="A135" t="s">
        <v>523</v>
      </c>
    </row>
    <row r="136" spans="1:1" x14ac:dyDescent="0.3">
      <c r="A136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Delay  Based liner  ex im</vt:lpstr>
      <vt:lpstr>Ports </vt:lpstr>
      <vt:lpstr>Sheet4</vt:lpstr>
      <vt:lpstr>Sheet2</vt:lpstr>
      <vt:lpstr>Streamlit </vt:lpstr>
      <vt:lpstr>First page _1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s</dc:creator>
  <cp:lastModifiedBy>hariharan b</cp:lastModifiedBy>
  <dcterms:created xsi:type="dcterms:W3CDTF">2026-03-05T11:25:24Z</dcterms:created>
  <dcterms:modified xsi:type="dcterms:W3CDTF">2026-04-11T04:36:43Z</dcterms:modified>
</cp:coreProperties>
</file>